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kesse/Finance/Portfolio/Portfolio/"/>
    </mc:Choice>
  </mc:AlternateContent>
  <xr:revisionPtr revIDLastSave="0" documentId="8_{A9C268B4-E89F-C542-BABE-8E7D89298D07}" xr6:coauthVersionLast="47" xr6:coauthVersionMax="47" xr10:uidLastSave="{00000000-0000-0000-0000-000000000000}"/>
  <bookViews>
    <workbookView xWindow="0" yWindow="660" windowWidth="29400" windowHeight="17360" xr2:uid="{480BD804-360B-4F5C-9E85-230AA78C56A2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6" i="3"/>
  <c r="C3" i="3"/>
  <c r="C5" i="3"/>
  <c r="C4" i="3"/>
  <c r="C11" i="3"/>
  <c r="C12" i="3"/>
  <c r="C13" i="3"/>
  <c r="C10" i="3"/>
  <c r="B6" i="3"/>
</calcChain>
</file>

<file path=xl/sharedStrings.xml><?xml version="1.0" encoding="utf-8"?>
<sst xmlns="http://schemas.openxmlformats.org/spreadsheetml/2006/main" count="24" uniqueCount="22">
  <si>
    <t>TOTAL</t>
  </si>
  <si>
    <t>Portfolio Risk &amp; Exposure</t>
  </si>
  <si>
    <t>Asset Class</t>
  </si>
  <si>
    <t>Equities</t>
  </si>
  <si>
    <t>Equity ETF</t>
  </si>
  <si>
    <t>Bonds</t>
  </si>
  <si>
    <t>£ Value</t>
  </si>
  <si>
    <t>% of Portfolio (%)</t>
  </si>
  <si>
    <t>Sector Exposure (equities)</t>
  </si>
  <si>
    <t xml:space="preserve">Sector </t>
  </si>
  <si>
    <t>Technology</t>
  </si>
  <si>
    <t>% of Equity Portfolio (%)</t>
  </si>
  <si>
    <t>Energy</t>
  </si>
  <si>
    <t>Financials</t>
  </si>
  <si>
    <t>Consumer Staples</t>
  </si>
  <si>
    <t>£ Exposure</t>
  </si>
  <si>
    <t>Geographic Exposure</t>
  </si>
  <si>
    <t>Region</t>
  </si>
  <si>
    <t>Approx. %</t>
  </si>
  <si>
    <t>United States</t>
  </si>
  <si>
    <t>United Kingdom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</si>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</sst>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;[Red]\-&quot;£&quot;#,##0"/>
    <numFmt numFmtId="166" formatCode="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D321-DFF9-4EA4-BA9A-F5DA1218EDC1}">
  <dimension ref="A1:C21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16.33203125" customWidth="1"/>
    <col min="2" max="2" width="12.5" customWidth="1"/>
    <col min="3" max="3" width="22.5" customWidth="1"/>
  </cols>
  <sheetData>
    <row r="1" spans="1:3" ht="16" x14ac:dyDescent="0.2">
      <c r="A1" s="7" t="s">
        <v>1</v>
      </c>
    </row>
    <row r="2" spans="1:3" x14ac:dyDescent="0.2">
      <c r="A2" s="2" t="s">
        <v>2</v>
      </c>
      <c r="B2" s="5" t="s">
        <v>6</v>
      </c>
      <c r="C2" s="6" t="s">
        <v>7</v>
      </c>
    </row>
    <row r="3" spans="1:3" x14ac:dyDescent="0.2">
      <c r="A3" t="s">
        <v>3</v>
      </c>
      <c r="B3" s="4">
        <v>20000</v>
      </c>
      <c r="C3" s="3">
        <f>(B3/B6)</f>
        <v>0.8</v>
      </c>
    </row>
    <row r="4" spans="1:3" x14ac:dyDescent="0.2">
      <c r="A4" t="s">
        <v>4</v>
      </c>
      <c r="B4" s="4">
        <v>3500</v>
      </c>
      <c r="C4" s="3">
        <f>(B4/B6)</f>
        <v>0.14000000000000001</v>
      </c>
    </row>
    <row r="5" spans="1:3" x14ac:dyDescent="0.2">
      <c r="A5" t="s">
        <v>5</v>
      </c>
      <c r="B5" s="4">
        <v>1500</v>
      </c>
      <c r="C5" s="3">
        <f>(B5/B6)</f>
        <v>0.06</v>
      </c>
    </row>
    <row r="6" spans="1:3" x14ac:dyDescent="0.2">
      <c r="A6" s="2" t="s">
        <v>0</v>
      </c>
      <c r="B6" s="4">
        <f>SUM(B2:B5)</f>
        <v>25000</v>
      </c>
      <c r="C6" s="3">
        <f>SUM(C3:C5)</f>
        <v>1</v>
      </c>
    </row>
    <row r="8" spans="1:3" x14ac:dyDescent="0.2">
      <c r="A8" s="2" t="s">
        <v>8</v>
      </c>
    </row>
    <row r="9" spans="1:3" x14ac:dyDescent="0.2">
      <c r="A9" s="2" t="s">
        <v>9</v>
      </c>
      <c r="B9" s="5" t="s">
        <v>15</v>
      </c>
      <c r="C9" s="6" t="s">
        <v>11</v>
      </c>
    </row>
    <row r="10" spans="1:3" x14ac:dyDescent="0.2">
      <c r="A10" t="s">
        <v>10</v>
      </c>
      <c r="B10" s="4">
        <v>6500</v>
      </c>
      <c r="C10" s="3">
        <f xml:space="preserve"> B10 / 20000</f>
        <v>0.32500000000000001</v>
      </c>
    </row>
    <row r="11" spans="1:3" x14ac:dyDescent="0.2">
      <c r="A11" t="s">
        <v>12</v>
      </c>
      <c r="B11" s="4">
        <v>4500</v>
      </c>
      <c r="C11" s="3">
        <f t="shared" ref="C11:C13" si="0" xml:space="preserve"> B11 / 20000</f>
        <v>0.22500000000000001</v>
      </c>
    </row>
    <row r="12" spans="1:3" x14ac:dyDescent="0.2">
      <c r="A12" t="s">
        <v>13</v>
      </c>
      <c r="B12" s="4">
        <v>5000</v>
      </c>
      <c r="C12" s="3">
        <f t="shared" si="0"/>
        <v>0.25</v>
      </c>
    </row>
    <row r="13" spans="1:3" x14ac:dyDescent="0.2">
      <c r="A13" t="s">
        <v>14</v>
      </c>
      <c r="B13" s="4">
        <v>4000</v>
      </c>
      <c r="C13" s="3">
        <f t="shared" si="0"/>
        <v>0.2</v>
      </c>
    </row>
    <row r="14" spans="1:3" x14ac:dyDescent="0.2">
      <c r="A14" s="2" t="s">
        <v>0</v>
      </c>
      <c r="B14" s="1">
        <v>20000</v>
      </c>
      <c r="C14" s="3">
        <f xml:space="preserve"> SUM(C10:C13)</f>
        <v>1</v>
      </c>
    </row>
    <row r="16" spans="1:3" ht="16" x14ac:dyDescent="0.2">
      <c r="A16" s="7" t="s">
        <v>16</v>
      </c>
    </row>
    <row r="17" spans="1:2" x14ac:dyDescent="0.2">
      <c r="A17" s="2" t="s">
        <v>17</v>
      </c>
      <c r="B17" s="6" t="s">
        <v>18</v>
      </c>
    </row>
    <row r="18" spans="1:2" x14ac:dyDescent="0.2">
      <c r="A18" t="s">
        <v>19</v>
      </c>
      <c r="B18" s="3">
        <v>0.65</v>
      </c>
    </row>
    <row r="19" spans="1:2" x14ac:dyDescent="0.2">
      <c r="A19" t="s">
        <v>20</v>
      </c>
      <c r="B19" s="3">
        <v>0.3</v>
      </c>
    </row>
    <row r="20" spans="1:2" x14ac:dyDescent="0.2">
      <c r="A20" t="s">
        <v>21</v>
      </c>
      <c r="B20" s="3">
        <v>0.05</v>
      </c>
    </row>
    <row r="21" spans="1:2" x14ac:dyDescent="0.2">
      <c r="A21" s="2" t="s">
        <v>0</v>
      </c>
      <c r="B2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Kesse, Samuel (2023)</dc:creator>
  <cp:lastModifiedBy>Kesse, Samuel (2023)</cp:lastModifiedBy>
  <dcterms:created xsi:type="dcterms:W3CDTF">2026-01-17T15:04:39Z</dcterms:created>
  <dcterms:modified xsi:type="dcterms:W3CDTF">2026-03-16T23:22:40Z</dcterms:modified>
</cp:coreProperties>
</file>