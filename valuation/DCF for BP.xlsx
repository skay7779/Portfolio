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FCF Projection" sheetId="2" state="visible" r:id="rId4"/>
    <sheet name="EV Build-Up" sheetId="3" state="visible" r:id="rId5"/>
    <sheet name="Equity Value" sheetId="4" state="visible" r:id="rId6"/>
    <sheet name="Sensitiv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<sst xmlns="http://schemas.openxmlformats.org/spreadsheetml/2006/main" count="60" uniqueCount="47">
  <si>
    <t xml:space="preserve">BP plc (BP.L) – Key Valuation Assumptions</t>
  </si>
  <si>
    <t xml:space="preserve">Item</t>
  </si>
  <si>
    <t xml:space="preserve">Value</t>
  </si>
  <si>
    <t xml:space="preserve">Notes / source</t>
  </si>
  <si>
    <t xml:space="preserve">Base Year FCF (£m)</t>
  </si>
  <si>
    <t xml:space="preserve">FY2024 free cash flow (author’s figure). BP reports in US$: confirm currency.</t>
  </si>
  <si>
    <t xml:space="preserve">FCF Growth Rate (Years 1–5)</t>
  </si>
  <si>
    <t xml:space="preserve">Conservative assumption</t>
  </si>
  <si>
    <t xml:space="preserve">Discount Rate (WACC)</t>
  </si>
  <si>
    <t xml:space="preserve">Assumed WACC for a large oil major</t>
  </si>
  <si>
    <t xml:space="preserve">Terminal Growth Rate</t>
  </si>
  <si>
    <t xml:space="preserve">Long-term GDP-type growth</t>
  </si>
  <si>
    <t xml:space="preserve">Net Debt (£m)</t>
  </si>
  <si>
    <t xml:space="preserve">From balance sheet (author’s figure). One figure used throughout.</t>
  </si>
  <si>
    <t xml:space="preserve">Shares Outstanding (m)</t>
  </si>
  <si>
    <t xml:space="preserve">≈15.7bn ordinary shares (Trading Economics, Sept 2026)</t>
  </si>
  <si>
    <t xml:space="preserve">Current Share Price (£)</t>
  </si>
  <si>
    <t xml:space="preserve">542.3p on 22 Sept 2026 (Trading Economics)</t>
  </si>
  <si>
    <t xml:space="preserve">Free Cash Flow Projection</t>
  </si>
  <si>
    <t xml:space="preserve">Year</t>
  </si>
  <si>
    <t xml:space="preserve">FCF (£m)</t>
  </si>
  <si>
    <t xml:space="preserve">Growth %</t>
  </si>
  <si>
    <t xml:space="preserve">Discount Factor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</si>
  <si>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</si>
  <si>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</si>
  <si>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</si>
  <si>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</si>
  <si>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</si>
  <si>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</si>
  <si>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Present Value, Terminal Value &amp; Enterprise Value</t>
  </si>
  <si>
    <t xml:space="preserve">PV (£m)</t>
  </si>
  <si>
    <t xml:space="preserve">£m</t>
  </si>
  <si>
    <t xml:space="preserve">PV of FCF (Years 1–5)</t>
  </si>
  <si>
    <t xml:space="preserve">Terminal Value at Year 5</t>
  </si>
  <si>
    <t xml:space="preserve">PV of Terminal Value</t>
  </si>
  <si>
    <t xml:space="preserve">Enterprise Value</t>
  </si>
  <si>
    <t xml:space="preserve">Terminal value as % of EV</t>
  </si>
  <si>
    <t xml:space="preserve">Equity Value &amp; Implied Share Price</t>
  </si>
  <si>
    <t xml:space="preserve">Enterprise Value (£m)</t>
  </si>
  <si>
    <t xml:space="preserve">Less: Net Debt (£m)</t>
  </si>
  <si>
    <t xml:space="preserve">Equity Value (£m)</t>
  </si>
  <si>
    <t xml:space="preserve">Implied Share Price (£)</t>
  </si>
  <si>
    <t xml:space="preserve">Implied Upside / (Downside)</t>
  </si>
  <si>
    <t xml:space="preserve">Implied Share Price (£): WACC vs Terminal Growth</t>
  </si>
  <si>
    <t xml:space="preserve">Rows: terminal growth. Columns: WACC. Each cell recalculates the full DCF.</t>
  </si>
  <si>
    <t xml:space="preserve">g \ WACC</t>
  </si>
  <si>
    <t xml:space="preserve">Base case (8.0% WACC, 1.5% growth) should match the Equity Value sheet.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</si>
</sst>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£#,##0;&quot;(£&quot;#,##0\);\-"/>
    <numFmt numFmtId="166" formatCode="0.0%;\(0.0%\);\-"/>
    <numFmt numFmtId="167" formatCode="#,##0"/>
    <numFmt numFmtId="168" formatCode="\£#,##0.00;&quot;(£&quot;#,##0.00\);\-"/>
    <numFmt numFmtId="169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6233A"/>
        <bgColor rgb="FF003366"/>
      </patternFill>
    </fill>
    <fill>
      <patternFill patternType="solid">
        <fgColor rgb="FFE7EBF0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E7EB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3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62"/>
  </cols>
  <sheetData>
    <row r="1" customFormat="false" ht="1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</row>
    <row r="3" customFormat="false" ht="15" hidden="false" customHeight="false" outlineLevel="0" collapsed="false">
      <c r="A3" s="4" t="s">
        <v>4</v>
      </c>
      <c r="B3" s="5" t="n">
        <v>10667</v>
      </c>
      <c r="C3" s="4" t="s">
        <v>5</v>
      </c>
    </row>
    <row r="4" customFormat="false" ht="15" hidden="false" customHeight="false" outlineLevel="0" collapsed="false">
      <c r="A4" s="4" t="s">
        <v>6</v>
      </c>
      <c r="B4" s="6" t="n">
        <v>0.02</v>
      </c>
      <c r="C4" s="4" t="s">
        <v>7</v>
      </c>
    </row>
    <row r="5" customFormat="false" ht="15" hidden="false" customHeight="false" outlineLevel="0" collapsed="false">
      <c r="A5" s="4" t="s">
        <v>8</v>
      </c>
      <c r="B5" s="6" t="n">
        <v>0.08</v>
      </c>
      <c r="C5" s="4" t="s">
        <v>9</v>
      </c>
    </row>
    <row r="6" customFormat="false" ht="15" hidden="false" customHeight="false" outlineLevel="0" collapsed="false">
      <c r="A6" s="4" t="s">
        <v>10</v>
      </c>
      <c r="B6" s="6" t="n">
        <v>0.015</v>
      </c>
      <c r="C6" s="4" t="s">
        <v>11</v>
      </c>
    </row>
    <row r="7" customFormat="false" ht="15" hidden="false" customHeight="false" outlineLevel="0" collapsed="false">
      <c r="A7" s="4" t="s">
        <v>12</v>
      </c>
      <c r="B7" s="5" t="n">
        <v>25187</v>
      </c>
      <c r="C7" s="4" t="s">
        <v>13</v>
      </c>
    </row>
    <row r="8" customFormat="false" ht="15" hidden="false" customHeight="false" outlineLevel="0" collapsed="false">
      <c r="A8" s="4" t="s">
        <v>14</v>
      </c>
      <c r="B8" s="7" t="n">
        <v>15700</v>
      </c>
      <c r="C8" s="4" t="s">
        <v>15</v>
      </c>
    </row>
    <row r="9" customFormat="false" ht="15" hidden="false" customHeight="false" outlineLevel="0" collapsed="false">
      <c r="A9" s="4" t="s">
        <v>16</v>
      </c>
      <c r="B9" s="8" t="n">
        <v>5.423</v>
      </c>
      <c r="C9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" t="s">
        <v>18</v>
      </c>
      <c r="B1" s="2"/>
      <c r="C1" s="2"/>
      <c r="D1" s="2"/>
    </row>
    <row r="2" customFormat="false" ht="15" hidden="false" customHeight="false" outlineLevel="0" collapsed="false">
      <c r="A2" s="3" t="s">
        <v>19</v>
      </c>
      <c r="B2" s="3" t="s">
        <v>20</v>
      </c>
      <c r="C2" s="3" t="s">
        <v>21</v>
      </c>
      <c r="D2" s="3" t="s">
        <v>22</v>
      </c>
    </row>
    <row r="3" customFormat="false" ht="15" hidden="false" customHeight="false" outlineLevel="0" collapsed="false">
      <c r="A3" s="4" t="s">
        <v>23</v>
      </c>
      <c r="B3" s="9" t="n">
        <f aca="false">Assumptions!B3</f>
        <v>10667</v>
      </c>
    </row>
    <row r="4" customFormat="false" ht="15" hidden="false" customHeight="false" outlineLevel="0" collapsed="false">
      <c r="A4" s="4" t="s">
        <v>24</v>
      </c>
      <c r="B4" s="10" t="n">
        <f aca="false">B3*(1+Assumptions!$B$4)</f>
        <v>10880.34</v>
      </c>
      <c r="C4" s="11" t="n">
        <f aca="false">Assumptions!$B$4</f>
        <v>0.02</v>
      </c>
      <c r="D4" s="12" t="n">
        <f aca="false">1/(1+Assumptions!$B$5)^1</f>
        <v>0.925925925925926</v>
      </c>
    </row>
    <row r="5" customFormat="false" ht="15" hidden="false" customHeight="false" outlineLevel="0" collapsed="false">
      <c r="A5" s="4" t="s">
        <v>25</v>
      </c>
      <c r="B5" s="10" t="n">
        <f aca="false">B4*(1+Assumptions!$B$4)</f>
        <v>11097.9468</v>
      </c>
      <c r="C5" s="11" t="n">
        <f aca="false">Assumptions!$B$4</f>
        <v>0.02</v>
      </c>
      <c r="D5" s="12" t="n">
        <f aca="false">1/(1+Assumptions!$B$5)^2</f>
        <v>0.857338820301783</v>
      </c>
    </row>
    <row r="6" customFormat="false" ht="15" hidden="false" customHeight="false" outlineLevel="0" collapsed="false">
      <c r="A6" s="4" t="s">
        <v>26</v>
      </c>
      <c r="B6" s="10" t="n">
        <f aca="false">B5*(1+Assumptions!$B$4)</f>
        <v>11319.905736</v>
      </c>
      <c r="C6" s="11" t="n">
        <f aca="false">Assumptions!$B$4</f>
        <v>0.02</v>
      </c>
      <c r="D6" s="12" t="n">
        <f aca="false">1/(1+Assumptions!$B$5)^3</f>
        <v>0.79383224102017</v>
      </c>
    </row>
    <row r="7" customFormat="false" ht="15" hidden="false" customHeight="false" outlineLevel="0" collapsed="false">
      <c r="A7" s="4" t="s">
        <v>27</v>
      </c>
      <c r="B7" s="10" t="n">
        <f aca="false">B6*(1+Assumptions!$B$4)</f>
        <v>11546.30385072</v>
      </c>
      <c r="C7" s="11" t="n">
        <f aca="false">Assumptions!$B$4</f>
        <v>0.02</v>
      </c>
      <c r="D7" s="12" t="n">
        <f aca="false">1/(1+Assumptions!$B$5)^4</f>
        <v>0.735029852796453</v>
      </c>
    </row>
    <row r="8" customFormat="false" ht="15" hidden="false" customHeight="false" outlineLevel="0" collapsed="false">
      <c r="A8" s="4" t="s">
        <v>28</v>
      </c>
      <c r="B8" s="10" t="n">
        <f aca="false">B7*(1+Assumptions!$B$4)</f>
        <v>11777.2299277344</v>
      </c>
      <c r="C8" s="11" t="n">
        <f aca="false">Assumptions!$B$4</f>
        <v>0.02</v>
      </c>
      <c r="D8" s="12" t="n">
        <f aca="false">1/(1+Assumptions!$B$5)^5</f>
        <v>0.680583197033753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29</v>
      </c>
      <c r="B1" s="2"/>
      <c r="C1" s="2"/>
      <c r="D1" s="2"/>
    </row>
    <row r="2" customFormat="false" ht="15" hidden="false" customHeight="false" outlineLevel="0" collapsed="false">
      <c r="A2" s="3" t="s">
        <v>19</v>
      </c>
      <c r="B2" s="3" t="s">
        <v>20</v>
      </c>
      <c r="C2" s="3" t="s">
        <v>22</v>
      </c>
      <c r="D2" s="3" t="s">
        <v>30</v>
      </c>
    </row>
    <row r="3" customFormat="false" ht="15" hidden="false" customHeight="false" outlineLevel="0" collapsed="false">
      <c r="A3" s="4" t="s">
        <v>24</v>
      </c>
      <c r="B3" s="9" t="n">
        <f aca="false">'FCF Projection'!B4</f>
        <v>10880.34</v>
      </c>
      <c r="C3" s="13" t="n">
        <f aca="false">'FCF Projection'!D4</f>
        <v>0.925925925925926</v>
      </c>
      <c r="D3" s="10" t="n">
        <f aca="false">B3*C3</f>
        <v>10074.3888888889</v>
      </c>
    </row>
    <row r="4" customFormat="false" ht="15" hidden="false" customHeight="false" outlineLevel="0" collapsed="false">
      <c r="A4" s="4" t="s">
        <v>25</v>
      </c>
      <c r="B4" s="9" t="n">
        <f aca="false">'FCF Projection'!B5</f>
        <v>11097.9468</v>
      </c>
      <c r="C4" s="13" t="n">
        <f aca="false">'FCF Projection'!D5</f>
        <v>0.857338820301783</v>
      </c>
      <c r="D4" s="10" t="n">
        <f aca="false">B4*C4</f>
        <v>9514.70061728395</v>
      </c>
    </row>
    <row r="5" customFormat="false" ht="15" hidden="false" customHeight="false" outlineLevel="0" collapsed="false">
      <c r="A5" s="4" t="s">
        <v>26</v>
      </c>
      <c r="B5" s="9" t="n">
        <f aca="false">'FCF Projection'!B6</f>
        <v>11319.905736</v>
      </c>
      <c r="C5" s="13" t="n">
        <f aca="false">'FCF Projection'!D6</f>
        <v>0.79383224102017</v>
      </c>
      <c r="D5" s="10" t="n">
        <f aca="false">B5*C5</f>
        <v>8986.10613854595</v>
      </c>
    </row>
    <row r="6" customFormat="false" ht="15" hidden="false" customHeight="false" outlineLevel="0" collapsed="false">
      <c r="A6" s="4" t="s">
        <v>27</v>
      </c>
      <c r="B6" s="9" t="n">
        <f aca="false">'FCF Projection'!B7</f>
        <v>11546.30385072</v>
      </c>
      <c r="C6" s="13" t="n">
        <f aca="false">'FCF Projection'!D7</f>
        <v>0.735029852796453</v>
      </c>
      <c r="D6" s="10" t="n">
        <f aca="false">B6*C6</f>
        <v>8486.87801973784</v>
      </c>
    </row>
    <row r="7" customFormat="false" ht="15" hidden="false" customHeight="false" outlineLevel="0" collapsed="false">
      <c r="A7" s="4" t="s">
        <v>28</v>
      </c>
      <c r="B7" s="9" t="n">
        <f aca="false">'FCF Projection'!B8</f>
        <v>11777.2299277344</v>
      </c>
      <c r="C7" s="13" t="n">
        <f aca="false">'FCF Projection'!D8</f>
        <v>0.680583197033753</v>
      </c>
      <c r="D7" s="10" t="n">
        <f aca="false">B7*C7</f>
        <v>8015.38479641907</v>
      </c>
    </row>
    <row r="9" customFormat="false" ht="15" hidden="false" customHeight="false" outlineLevel="0" collapsed="false">
      <c r="A9" s="3" t="s">
        <v>1</v>
      </c>
      <c r="B9" s="3" t="s">
        <v>31</v>
      </c>
      <c r="C9" s="3"/>
      <c r="D9" s="3"/>
    </row>
    <row r="10" customFormat="false" ht="15" hidden="false" customHeight="false" outlineLevel="0" collapsed="false">
      <c r="A10" s="4" t="s">
        <v>32</v>
      </c>
      <c r="B10" s="10" t="n">
        <f aca="false">SUM(D3:D7)</f>
        <v>45077.4584608757</v>
      </c>
    </row>
    <row r="11" customFormat="false" ht="15" hidden="false" customHeight="false" outlineLevel="0" collapsed="false">
      <c r="A11" s="4" t="s">
        <v>33</v>
      </c>
      <c r="B11" s="10" t="n">
        <f aca="false">B7*(1+Assumptions!B6)/(Assumptions!B5-Assumptions!B6)</f>
        <v>183905.975025391</v>
      </c>
    </row>
    <row r="12" customFormat="false" ht="15" hidden="false" customHeight="false" outlineLevel="0" collapsed="false">
      <c r="A12" s="4" t="s">
        <v>34</v>
      </c>
      <c r="B12" s="10" t="n">
        <f aca="false">B11*C7</f>
        <v>125163.31643639</v>
      </c>
    </row>
    <row r="13" customFormat="false" ht="15" hidden="false" customHeight="false" outlineLevel="0" collapsed="false">
      <c r="A13" s="14" t="s">
        <v>35</v>
      </c>
      <c r="B13" s="10" t="n">
        <f aca="false">B10+B12</f>
        <v>170240.774897266</v>
      </c>
    </row>
    <row r="14" customFormat="false" ht="15" hidden="false" customHeight="false" outlineLevel="0" collapsed="false">
      <c r="A14" s="4" t="s">
        <v>36</v>
      </c>
      <c r="B14" s="15" t="n">
        <f aca="false">B12/B13</f>
        <v>0.735213502828107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" t="s">
        <v>37</v>
      </c>
      <c r="B1" s="2"/>
    </row>
    <row r="2" customFormat="false" ht="15" hidden="false" customHeight="false" outlineLevel="0" collapsed="false">
      <c r="A2" s="3" t="s">
        <v>1</v>
      </c>
      <c r="B2" s="3" t="s">
        <v>2</v>
      </c>
    </row>
    <row r="3" customFormat="false" ht="15" hidden="false" customHeight="false" outlineLevel="0" collapsed="false">
      <c r="A3" s="4" t="s">
        <v>38</v>
      </c>
      <c r="B3" s="9" t="n">
        <f aca="false">'EV Build-Up'!B13</f>
        <v>170240.774897266</v>
      </c>
    </row>
    <row r="4" customFormat="false" ht="15" hidden="false" customHeight="false" outlineLevel="0" collapsed="false">
      <c r="A4" s="4" t="s">
        <v>39</v>
      </c>
      <c r="B4" s="9" t="n">
        <f aca="false">Assumptions!B7</f>
        <v>25187</v>
      </c>
    </row>
    <row r="5" customFormat="false" ht="15" hidden="false" customHeight="false" outlineLevel="0" collapsed="false">
      <c r="A5" s="4" t="s">
        <v>40</v>
      </c>
      <c r="B5" s="10" t="n">
        <f aca="false">B3-B4</f>
        <v>145053.774897266</v>
      </c>
    </row>
    <row r="6" customFormat="false" ht="15" hidden="false" customHeight="false" outlineLevel="0" collapsed="false">
      <c r="A6" s="4" t="s">
        <v>14</v>
      </c>
      <c r="B6" s="16" t="n">
        <f aca="false">Assumptions!B8</f>
        <v>15700</v>
      </c>
    </row>
    <row r="7" customFormat="false" ht="15" hidden="false" customHeight="false" outlineLevel="0" collapsed="false">
      <c r="A7" s="14" t="s">
        <v>41</v>
      </c>
      <c r="B7" s="17" t="n">
        <f aca="false">B5/B6</f>
        <v>9.23909394250101</v>
      </c>
    </row>
    <row r="8" customFormat="false" ht="15" hidden="false" customHeight="false" outlineLevel="0" collapsed="false">
      <c r="A8" s="4" t="s">
        <v>16</v>
      </c>
      <c r="B8" s="18" t="n">
        <f aca="false">Assumptions!B9</f>
        <v>5.423</v>
      </c>
    </row>
    <row r="9" customFormat="false" ht="15" hidden="false" customHeight="false" outlineLevel="0" collapsed="false">
      <c r="A9" s="14" t="s">
        <v>42</v>
      </c>
      <c r="B9" s="15" t="n">
        <f aca="false">B7/B8-1</f>
        <v>0.703686878572932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1"/>
  </cols>
  <sheetData>
    <row r="1" customFormat="false" ht="15" hidden="false" customHeight="false" outlineLevel="0" collapsed="false">
      <c r="A1" s="1" t="s">
        <v>43</v>
      </c>
      <c r="B1" s="2"/>
      <c r="C1" s="2"/>
      <c r="D1" s="2"/>
      <c r="E1" s="2"/>
    </row>
    <row r="2" customFormat="false" ht="15" hidden="false" customHeight="false" outlineLevel="0" collapsed="false">
      <c r="A2" s="19" t="s">
        <v>44</v>
      </c>
    </row>
    <row r="3" customFormat="false" ht="15" hidden="false" customHeight="false" outlineLevel="0" collapsed="false">
      <c r="A3" s="3" t="s">
        <v>45</v>
      </c>
      <c r="B3" s="20" t="n">
        <v>0.07</v>
      </c>
      <c r="C3" s="20" t="n">
        <v>0.075</v>
      </c>
      <c r="D3" s="20" t="n">
        <v>0.08</v>
      </c>
      <c r="E3" s="20" t="n">
        <v>0.085</v>
      </c>
      <c r="F3" s="20" t="n">
        <v>0.09</v>
      </c>
    </row>
    <row r="4" customFormat="false" ht="15" hidden="false" customHeight="false" outlineLevel="0" collapsed="false">
      <c r="A4" s="20" t="n">
        <v>0.01</v>
      </c>
      <c r="B4" s="17" t="n">
        <f aca="false">((Assumptions!$B$3*(1+Assumptions!$B$4)^1/(1+B$3)^1+Assumptions!$B$3*(1+Assumptions!$B$4)^2/(1+B$3)^2+Assumptions!$B$3*(1+Assumptions!$B$4)^3/(1+B$3)^3+Assumptions!$B$3*(1+Assumptions!$B$4)^4/(1+B$3)^4+Assumptions!$B$3*(1+Assumptions!$B$4)^5/(1+B$3)^5)+Assumptions!$B$3*(1+Assumptions!$B$4)^5*(1+$A4)/(B$3-$A4)/(1+B$3)^5-Assumptions!$B$7)/Assumptions!$B$8</f>
        <v>10.348438997229</v>
      </c>
      <c r="C4" s="17" t="n">
        <f aca="false">((Assumptions!$B$3*(1+Assumptions!$B$4)^1/(1+C$3)^1+Assumptions!$B$3*(1+Assumptions!$B$4)^2/(1+C$3)^2+Assumptions!$B$3*(1+Assumptions!$B$4)^3/(1+C$3)^3+Assumptions!$B$3*(1+Assumptions!$B$4)^4/(1+C$3)^4+Assumptions!$B$3*(1+Assumptions!$B$4)^5/(1+C$3)^5)+Assumptions!$B$3*(1+Assumptions!$B$4)^5*(1+$A4)/(C$3-$A4)/(1+C$3)^5-Assumptions!$B$7)/Assumptions!$B$8</f>
        <v>9.42480272429991</v>
      </c>
      <c r="D4" s="17" t="n">
        <f aca="false">((Assumptions!$B$3*(1+Assumptions!$B$4)^1/(1+D$3)^1+Assumptions!$B$3*(1+Assumptions!$B$4)^2/(1+D$3)^2+Assumptions!$B$3*(1+Assumptions!$B$4)^3/(1+D$3)^3+Assumptions!$B$3*(1+Assumptions!$B$4)^4/(1+D$3)^4+Assumptions!$B$3*(1+Assumptions!$B$4)^5/(1+D$3)^5)+Assumptions!$B$3*(1+Assumptions!$B$4)^5*(1+$A4)/(D$3-$A4)/(1+D$3)^5-Assumptions!$B$7)/Assumptions!$B$8</f>
        <v>8.63318538366202</v>
      </c>
      <c r="E4" s="17" t="n">
        <f aca="false">((Assumptions!$B$3*(1+Assumptions!$B$4)^1/(1+E$3)^1+Assumptions!$B$3*(1+Assumptions!$B$4)^2/(1+E$3)^2+Assumptions!$B$3*(1+Assumptions!$B$4)^3/(1+E$3)^3+Assumptions!$B$3*(1+Assumptions!$B$4)^4/(1+E$3)^4+Assumptions!$B$3*(1+Assumptions!$B$4)^5/(1+E$3)^5)+Assumptions!$B$3*(1+Assumptions!$B$4)^5*(1+$A4)/(E$3-$A4)/(1+E$3)^5-Assumptions!$B$7)/Assumptions!$B$8</f>
        <v>7.94718160956863</v>
      </c>
      <c r="F4" s="17" t="n">
        <f aca="false">((Assumptions!$B$3*(1+Assumptions!$B$4)^1/(1+F$3)^1+Assumptions!$B$3*(1+Assumptions!$B$4)^2/(1+F$3)^2+Assumptions!$B$3*(1+Assumptions!$B$4)^3/(1+F$3)^3+Assumptions!$B$3*(1+Assumptions!$B$4)^4/(1+F$3)^4+Assumptions!$B$3*(1+Assumptions!$B$4)^5/(1+F$3)^5)+Assumptions!$B$3*(1+Assumptions!$B$4)^5*(1+$A4)/(F$3-$A4)/(1+F$3)^5-Assumptions!$B$7)/Assumptions!$B$8</f>
        <v>7.34698742068715</v>
      </c>
    </row>
    <row r="5" customFormat="false" ht="15" hidden="false" customHeight="false" outlineLevel="0" collapsed="false">
      <c r="A5" s="20" t="n">
        <v>0.0125</v>
      </c>
      <c r="B5" s="17" t="n">
        <f aca="false">((Assumptions!$B$3*(1+Assumptions!$B$4)^1/(1+B$3)^1+Assumptions!$B$3*(1+Assumptions!$B$4)^2/(1+B$3)^2+Assumptions!$B$3*(1+Assumptions!$B$4)^3/(1+B$3)^3+Assumptions!$B$3*(1+Assumptions!$B$4)^4/(1+B$3)^4+Assumptions!$B$3*(1+Assumptions!$B$4)^5/(1+B$3)^5)+Assumptions!$B$3*(1+Assumptions!$B$4)^5*(1+$A5)/(B$3-$A5)/(1+B$3)^5-Assumptions!$B$7)/Assumptions!$B$8</f>
        <v>10.7631344796924</v>
      </c>
      <c r="C5" s="17" t="n">
        <f aca="false">((Assumptions!$B$3*(1+Assumptions!$B$4)^1/(1+C$3)^1+Assumptions!$B$3*(1+Assumptions!$B$4)^2/(1+C$3)^2+Assumptions!$B$3*(1+Assumptions!$B$4)^3/(1+C$3)^3+Assumptions!$B$3*(1+Assumptions!$B$4)^4/(1+C$3)^4+Assumptions!$B$3*(1+Assumptions!$B$4)^5/(1+C$3)^5)+Assumptions!$B$3*(1+Assumptions!$B$4)^5*(1+$A5)/(C$3-$A5)/(1+C$3)^5-Assumptions!$B$7)/Assumptions!$B$8</f>
        <v>9.77046841794756</v>
      </c>
      <c r="D5" s="17" t="n">
        <f aca="false">((Assumptions!$B$3*(1+Assumptions!$B$4)^1/(1+D$3)^1+Assumptions!$B$3*(1+Assumptions!$B$4)^2/(1+D$3)^2+Assumptions!$B$3*(1+Assumptions!$B$4)^3/(1+D$3)^3+Assumptions!$B$3*(1+Assumptions!$B$4)^4/(1+D$3)^4+Assumptions!$B$3*(1+Assumptions!$B$4)^5/(1+D$3)^5)+Assumptions!$B$3*(1+Assumptions!$B$4)^5*(1+$A5)/(D$3-$A5)/(1+D$3)^5-Assumptions!$B$7)/Assumptions!$B$8</f>
        <v>8.92491913421413</v>
      </c>
      <c r="E5" s="17" t="n">
        <f aca="false">((Assumptions!$B$3*(1+Assumptions!$B$4)^1/(1+E$3)^1+Assumptions!$B$3*(1+Assumptions!$B$4)^2/(1+E$3)^2+Assumptions!$B$3*(1+Assumptions!$B$4)^3/(1+E$3)^3+Assumptions!$B$3*(1+Assumptions!$B$4)^4/(1+E$3)^4+Assumptions!$B$3*(1+Assumptions!$B$4)^5/(1+E$3)^5)+Assumptions!$B$3*(1+Assumptions!$B$4)^5*(1+$A5)/(E$3-$A5)/(1+E$3)^5-Assumptions!$B$7)/Assumptions!$B$8</f>
        <v>8.19604744911074</v>
      </c>
      <c r="F5" s="17" t="n">
        <f aca="false">((Assumptions!$B$3*(1+Assumptions!$B$4)^1/(1+F$3)^1+Assumptions!$B$3*(1+Assumptions!$B$4)^2/(1+F$3)^2+Assumptions!$B$3*(1+Assumptions!$B$4)^3/(1+F$3)^3+Assumptions!$B$3*(1+Assumptions!$B$4)^4/(1+F$3)^4+Assumptions!$B$3*(1+Assumptions!$B$4)^5/(1+F$3)^5)+Assumptions!$B$3*(1+Assumptions!$B$4)^5*(1+$A5)/(F$3-$A5)/(1+F$3)^5-Assumptions!$B$7)/Assumptions!$B$8</f>
        <v>7.56126948862732</v>
      </c>
    </row>
    <row r="6" customFormat="false" ht="15" hidden="false" customHeight="false" outlineLevel="0" collapsed="false">
      <c r="A6" s="20" t="n">
        <v>0.015</v>
      </c>
      <c r="B6" s="17" t="n">
        <f aca="false">((Assumptions!$B$3*(1+Assumptions!$B$4)^1/(1+B$3)^1+Assumptions!$B$3*(1+Assumptions!$B$4)^2/(1+B$3)^2+Assumptions!$B$3*(1+Assumptions!$B$4)^3/(1+B$3)^3+Assumptions!$B$3*(1+Assumptions!$B$4)^4/(1+B$3)^4+Assumptions!$B$3*(1+Assumptions!$B$4)^5/(1+B$3)^5)+Assumptions!$B$3*(1+Assumptions!$B$4)^5*(1+$A6)/(B$3-$A6)/(1+B$3)^5-Assumptions!$B$7)/Assumptions!$B$8</f>
        <v>11.2155295514706</v>
      </c>
      <c r="C6" s="17" t="n">
        <f aca="false">((Assumptions!$B$3*(1+Assumptions!$B$4)^1/(1+C$3)^1+Assumptions!$B$3*(1+Assumptions!$B$4)^2/(1+C$3)^2+Assumptions!$B$3*(1+Assumptions!$B$4)^3/(1+C$3)^3+Assumptions!$B$3*(1+Assumptions!$B$4)^4/(1+C$3)^4+Assumptions!$B$3*(1+Assumptions!$B$4)^5/(1+C$3)^5)+Assumptions!$B$3*(1+Assumptions!$B$4)^5*(1+$A6)/(C$3-$A6)/(1+C$3)^5-Assumptions!$B$7)/Assumptions!$B$8</f>
        <v>10.1449395860659</v>
      </c>
      <c r="D6" s="17" t="n">
        <f aca="false">((Assumptions!$B$3*(1+Assumptions!$B$4)^1/(1+D$3)^1+Assumptions!$B$3*(1+Assumptions!$B$4)^2/(1+D$3)^2+Assumptions!$B$3*(1+Assumptions!$B$4)^3/(1+D$3)^3+Assumptions!$B$3*(1+Assumptions!$B$4)^4/(1+D$3)^4+Assumptions!$B$3*(1+Assumptions!$B$4)^5/(1+D$3)^5)+Assumptions!$B$3*(1+Assumptions!$B$4)^5*(1+$A6)/(D$3-$A6)/(1+D$3)^5-Assumptions!$B$7)/Assumptions!$B$8</f>
        <v>9.23909394250101</v>
      </c>
      <c r="E6" s="17" t="n">
        <f aca="false">((Assumptions!$B$3*(1+Assumptions!$B$4)^1/(1+E$3)^1+Assumptions!$B$3*(1+Assumptions!$B$4)^2/(1+E$3)^2+Assumptions!$B$3*(1+Assumptions!$B$4)^3/(1+E$3)^3+Assumptions!$B$3*(1+Assumptions!$B$4)^4/(1+E$3)^4+Assumptions!$B$3*(1+Assumptions!$B$4)^5/(1+E$3)^5)+Assumptions!$B$3*(1+Assumptions!$B$4)^5*(1+$A6)/(E$3-$A6)/(1+E$3)^5-Assumptions!$B$7)/Assumptions!$B$8</f>
        <v>8.46268942004871</v>
      </c>
      <c r="F6" s="17" t="n">
        <f aca="false">((Assumptions!$B$3*(1+Assumptions!$B$4)^1/(1+F$3)^1+Assumptions!$B$3*(1+Assumptions!$B$4)^2/(1+F$3)^2+Assumptions!$B$3*(1+Assumptions!$B$4)^3/(1+F$3)^3+Assumptions!$B$3*(1+Assumptions!$B$4)^4/(1+F$3)^4+Assumptions!$B$3*(1+Assumptions!$B$4)^5/(1+F$3)^5)+Assumptions!$B$3*(1+Assumptions!$B$4)^5*(1+$A6)/(F$3-$A6)/(1+F$3)^5-Assumptions!$B$7)/Assumptions!$B$8</f>
        <v>7.7898370277635</v>
      </c>
    </row>
    <row r="7" customFormat="false" ht="15" hidden="false" customHeight="false" outlineLevel="0" collapsed="false">
      <c r="A7" s="20" t="n">
        <v>0.0175</v>
      </c>
      <c r="B7" s="17" t="n">
        <f aca="false">((Assumptions!$B$3*(1+Assumptions!$B$4)^1/(1+B$3)^1+Assumptions!$B$3*(1+Assumptions!$B$4)^2/(1+B$3)^2+Assumptions!$B$3*(1+Assumptions!$B$4)^3/(1+B$3)^3+Assumptions!$B$3*(1+Assumptions!$B$4)^4/(1+B$3)^4+Assumptions!$B$3*(1+Assumptions!$B$4)^5/(1+B$3)^5)+Assumptions!$B$3*(1+Assumptions!$B$4)^5*(1+$A7)/(B$3-$A7)/(1+B$3)^5-Assumptions!$B$7)/Assumptions!$B$8</f>
        <v>11.7110098681801</v>
      </c>
      <c r="C7" s="17" t="n">
        <f aca="false">((Assumptions!$B$3*(1+Assumptions!$B$4)^1/(1+C$3)^1+Assumptions!$B$3*(1+Assumptions!$B$4)^2/(1+C$3)^2+Assumptions!$B$3*(1+Assumptions!$B$4)^3/(1+C$3)^3+Assumptions!$B$3*(1+Assumptions!$B$4)^4/(1+C$3)^4+Assumptions!$B$3*(1+Assumptions!$B$4)^5/(1+C$3)^5)+Assumptions!$B$3*(1+Assumptions!$B$4)^5*(1+$A7)/(C$3-$A7)/(1+C$3)^5-Assumptions!$B$7)/Assumptions!$B$8</f>
        <v>10.5519734644553</v>
      </c>
      <c r="D7" s="17" t="n">
        <f aca="false">((Assumptions!$B$3*(1+Assumptions!$B$4)^1/(1+D$3)^1+Assumptions!$B$3*(1+Assumptions!$B$4)^2/(1+D$3)^2+Assumptions!$B$3*(1+Assumptions!$B$4)^3/(1+D$3)^3+Assumptions!$B$3*(1+Assumptions!$B$4)^4/(1+D$3)^4+Assumptions!$B$3*(1+Assumptions!$B$4)^5/(1+D$3)^5)+Assumptions!$B$3*(1+Assumptions!$B$4)^5*(1+$A7)/(D$3-$A7)/(1+D$3)^5-Assumptions!$B$7)/Assumptions!$B$8</f>
        <v>9.57840273545084</v>
      </c>
      <c r="E7" s="17" t="n">
        <f aca="false">((Assumptions!$B$3*(1+Assumptions!$B$4)^1/(1+E$3)^1+Assumptions!$B$3*(1+Assumptions!$B$4)^2/(1+E$3)^2+Assumptions!$B$3*(1+Assumptions!$B$4)^3/(1+E$3)^3+Assumptions!$B$3*(1+Assumptions!$B$4)^4/(1+E$3)^4+Assumptions!$B$3*(1+Assumptions!$B$4)^5/(1+E$3)^5)+Assumptions!$B$3*(1+Assumptions!$B$4)^5*(1+$A7)/(E$3-$A7)/(1+E$3)^5-Assumptions!$B$7)/Assumptions!$B$8</f>
        <v>8.7490826480932</v>
      </c>
      <c r="F7" s="17" t="n">
        <f aca="false">((Assumptions!$B$3*(1+Assumptions!$B$4)^1/(1+F$3)^1+Assumptions!$B$3*(1+Assumptions!$B$4)^2/(1+F$3)^2+Assumptions!$B$3*(1+Assumptions!$B$4)^3/(1+F$3)^3+Assumptions!$B$3*(1+Assumptions!$B$4)^4/(1+F$3)^4+Assumptions!$B$3*(1+Assumptions!$B$4)^5/(1+F$3)^5)+Assumptions!$B$3*(1+Assumptions!$B$4)^5*(1+$A7)/(F$3-$A7)/(1+F$3)^5-Assumptions!$B$7)/Assumptions!$B$8</f>
        <v>8.03416784546081</v>
      </c>
    </row>
    <row r="8" customFormat="false" ht="15" hidden="false" customHeight="false" outlineLevel="0" collapsed="false">
      <c r="A8" s="20" t="n">
        <v>0.02</v>
      </c>
      <c r="B8" s="17" t="n">
        <f aca="false">((Assumptions!$B$3*(1+Assumptions!$B$4)^1/(1+B$3)^1+Assumptions!$B$3*(1+Assumptions!$B$4)^2/(1+B$3)^2+Assumptions!$B$3*(1+Assumptions!$B$4)^3/(1+B$3)^3+Assumptions!$B$3*(1+Assumptions!$B$4)^4/(1+B$3)^4+Assumptions!$B$3*(1+Assumptions!$B$4)^5/(1+B$3)^5)+Assumptions!$B$3*(1+Assumptions!$B$4)^5*(1+$A8)/(B$3-$A8)/(1+B$3)^5-Assumptions!$B$7)/Assumptions!$B$8</f>
        <v>12.2560382165605</v>
      </c>
      <c r="C8" s="17" t="n">
        <f aca="false">((Assumptions!$B$3*(1+Assumptions!$B$4)^1/(1+C$3)^1+Assumptions!$B$3*(1+Assumptions!$B$4)^2/(1+C$3)^2+Assumptions!$B$3*(1+Assumptions!$B$4)^3/(1+C$3)^3+Assumptions!$B$3*(1+Assumptions!$B$4)^4/(1+C$3)^4+Assumptions!$B$3*(1+Assumptions!$B$4)^5/(1+C$3)^5)+Assumptions!$B$3*(1+Assumptions!$B$4)^5*(1+$A8)/(C$3-$A8)/(1+C$3)^5-Assumptions!$B$7)/Assumptions!$B$8</f>
        <v>10.9960104226983</v>
      </c>
      <c r="D8" s="17" t="n">
        <f aca="false">((Assumptions!$B$3*(1+Assumptions!$B$4)^1/(1+D$3)^1+Assumptions!$B$3*(1+Assumptions!$B$4)^2/(1+D$3)^2+Assumptions!$B$3*(1+Assumptions!$B$4)^3/(1+D$3)^3+Assumptions!$B$3*(1+Assumptions!$B$4)^4/(1+D$3)^4+Assumptions!$B$3*(1+Assumptions!$B$4)^5/(1+D$3)^5)+Assumptions!$B$3*(1+Assumptions!$B$4)^5*(1+$A8)/(D$3-$A8)/(1+D$3)^5-Assumptions!$B$7)/Assumptions!$B$8</f>
        <v>9.94598726114649</v>
      </c>
      <c r="E8" s="17" t="n">
        <f aca="false">((Assumptions!$B$3*(1+Assumptions!$B$4)^1/(1+E$3)^1+Assumptions!$B$3*(1+Assumptions!$B$4)^2/(1+E$3)^2+Assumptions!$B$3*(1+Assumptions!$B$4)^3/(1+E$3)^3+Assumptions!$B$3*(1+Assumptions!$B$4)^4/(1+E$3)^4+Assumptions!$B$3*(1+Assumptions!$B$4)^5/(1+E$3)^5)+Assumptions!$B$3*(1+Assumptions!$B$4)^5*(1+$A8)/(E$3-$A8)/(1+E$3)^5-Assumptions!$B$7)/Assumptions!$B$8</f>
        <v>9.0575061244488</v>
      </c>
      <c r="F8" s="17" t="n">
        <f aca="false">((Assumptions!$B$3*(1+Assumptions!$B$4)^1/(1+F$3)^1+Assumptions!$B$3*(1+Assumptions!$B$4)^2/(1+F$3)^2+Assumptions!$B$3*(1+Assumptions!$B$4)^3/(1+F$3)^3+Assumptions!$B$3*(1+Assumptions!$B$4)^4/(1+F$3)^4+Assumptions!$B$3*(1+Assumptions!$B$4)^5/(1+F$3)^5)+Assumptions!$B$3*(1+Assumptions!$B$4)^5*(1+$A8)/(F$3-$A8)/(1+F$3)^5-Assumptions!$B$7)/Assumptions!$B$8</f>
        <v>8.2959508644222</v>
      </c>
    </row>
    <row r="10" customFormat="false" ht="15" hidden="false" customHeight="false" outlineLevel="0" collapsed="false">
      <c r="A10" s="19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2026-10-11T18:59:49Z</dcterms:created>
  <dc:creator>openpyxl</dc:creator>
  <dc:description/>
  <dc:language>en-US</dc:language>
  <cp:lastModifiedBy/>
  <dcterms:modified xsi:type="dcterms:W3CDTF">2026-10-11T18:59:49Z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