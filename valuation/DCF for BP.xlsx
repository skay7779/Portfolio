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muelkesse/Finance/Portfolio/DCF Models/"/>
    </mc:Choice>
  </mc:AlternateContent>
  <xr:revisionPtr revIDLastSave="0" documentId="13_ncr:1_{7BADB830-509B-7549-B816-015B4925DA01}" xr6:coauthVersionLast="47" xr6:coauthVersionMax="47" xr10:uidLastSave="{00000000-0000-0000-0000-000000000000}"/>
  <bookViews>
    <workbookView xWindow="0" yWindow="660" windowWidth="29400" windowHeight="17020" xr2:uid="{367E23F5-9E72-4CFD-930B-2505AC7FA668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12" i="4" s="1"/>
  <c r="B11" i="4"/>
  <c r="B3" i="4"/>
  <c r="B29" i="3"/>
  <c r="B28" i="3"/>
  <c r="B27" i="3"/>
  <c r="A22" i="3"/>
  <c r="D14" i="3"/>
  <c r="D15" i="3"/>
  <c r="D16" i="3"/>
  <c r="D17" i="3"/>
  <c r="D13" i="3"/>
  <c r="C14" i="3"/>
  <c r="C15" i="3"/>
  <c r="C16" i="3"/>
  <c r="C17" i="3"/>
  <c r="C13" i="3"/>
  <c r="B14" i="3"/>
  <c r="B15" i="3"/>
  <c r="B16" i="3"/>
  <c r="B17" i="3"/>
  <c r="B13" i="3"/>
  <c r="B7" i="3"/>
  <c r="B6" i="3"/>
  <c r="B5" i="3"/>
  <c r="B4" i="3"/>
  <c r="B3" i="3"/>
  <c r="A5" i="3"/>
  <c r="A6" i="3" s="1"/>
  <c r="A7" i="3" s="1"/>
  <c r="A4" i="3"/>
  <c r="B8" i="2"/>
  <c r="B7" i="2"/>
  <c r="B6" i="2"/>
  <c r="B5" i="2"/>
  <c r="B4" i="2"/>
  <c r="A8" i="2"/>
  <c r="A5" i="2"/>
  <c r="A6" i="2"/>
  <c r="A7" i="2"/>
  <c r="A4" i="2"/>
</calcChain>
</file>

<file path=xl/sharedStrings.xml><?xml version="1.0" encoding="utf-8"?>
<sst xmlns="http://schemas.openxmlformats.org/spreadsheetml/2006/main" count="48" uniqueCount="38">
  <si>
    <t>Item</t>
  </si>
  <si>
    <t>Base Year FCF (£m)</t>
  </si>
  <si>
    <t>FCF Growth Rate (Years 1-5)</t>
  </si>
  <si>
    <t>Discount Rate (WACC)</t>
  </si>
  <si>
    <t>Terminal Growth Rate</t>
  </si>
  <si>
    <t>Key Valuation Assumptions</t>
  </si>
  <si>
    <t>Net Debt (£m)</t>
  </si>
  <si>
    <t>Shares Outstanding (m)</t>
  </si>
  <si>
    <t>Value</t>
  </si>
  <si>
    <t>Notes</t>
  </si>
  <si>
    <t>FY 2024 FCF</t>
  </si>
  <si>
    <t>Conservative</t>
  </si>
  <si>
    <t>Large oil major</t>
  </si>
  <si>
    <t>Long -term GDP</t>
  </si>
  <si>
    <t>From balance sheet</t>
  </si>
  <si>
    <t>Ordinary shares</t>
  </si>
  <si>
    <t>Free Cash Flow Projection</t>
  </si>
  <si>
    <t>Year</t>
  </si>
  <si>
    <t>FCF (£m)</t>
  </si>
  <si>
    <t>Growth %</t>
  </si>
  <si>
    <t>Discount Factors</t>
  </si>
  <si>
    <t>PV of Forecast FCF</t>
  </si>
  <si>
    <t>Discount Factor</t>
  </si>
  <si>
    <t>PV (£m)</t>
  </si>
  <si>
    <t>Terminal Value (£m)</t>
  </si>
  <si>
    <t>EV Build-Up</t>
  </si>
  <si>
    <t>£m</t>
  </si>
  <si>
    <t>PV of FCF (Years 1-5)</t>
  </si>
  <si>
    <t>PV of Terminal Value</t>
  </si>
  <si>
    <t>Enterprise Value</t>
  </si>
  <si>
    <t>Equity Value &amp; Share Price</t>
  </si>
  <si>
    <t>Less: Net Debt</t>
  </si>
  <si>
    <t>Equity Value</t>
  </si>
  <si>
    <t>Per Share Valuation</t>
  </si>
  <si>
    <t>Equity Value (£)</t>
  </si>
  <si>
    <t>above</t>
  </si>
  <si>
    <t>Shares Outstanding</t>
  </si>
  <si>
    <t>Implied Share Price (£)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</si>
</sst>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  <xf numFmtId="10" fontId="0" fillId="0" borderId="0" xfId="0" applyNumberFormat="1"/>
    <xf numFmtId="10" fontId="1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4" fontId="1" fillId="0" borderId="0" xfId="0" applyNumberFormat="1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Assumption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Assumptions"/>
    </sheetNames>
    <sheetDataSet>
      <sheetData sheetId="0">
        <row r="4">
          <cell r="B4">
            <v>0.02</v>
          </cell>
        </row>
        <row r="5">
          <cell r="B5">
            <v>0.08</v>
          </cell>
        </row>
      </sheetData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61056-D0E3-4AF8-A37A-3E719ADE578A}">
  <dimension ref="A1:C8"/>
  <sheetViews>
    <sheetView tabSelected="1" workbookViewId="0">
      <selection activeCell="A6" sqref="A6"/>
    </sheetView>
  </sheetViews>
  <sheetFormatPr baseColWidth="10" defaultColWidth="8.83203125" defaultRowHeight="15" x14ac:dyDescent="0.2"/>
  <cols>
    <col min="1" max="1" width="24.1640625" customWidth="1"/>
    <col min="3" max="3" width="18.1640625" customWidth="1"/>
  </cols>
  <sheetData>
    <row r="1" spans="1:3" ht="16" x14ac:dyDescent="0.2">
      <c r="A1" s="2" t="s">
        <v>5</v>
      </c>
    </row>
    <row r="2" spans="1:3" x14ac:dyDescent="0.2">
      <c r="A2" s="1" t="s">
        <v>0</v>
      </c>
      <c r="B2" s="1" t="s">
        <v>8</v>
      </c>
      <c r="C2" s="1" t="s">
        <v>9</v>
      </c>
    </row>
    <row r="3" spans="1:3" x14ac:dyDescent="0.2">
      <c r="A3" t="s">
        <v>1</v>
      </c>
      <c r="B3" s="3">
        <v>10667</v>
      </c>
      <c r="C3" t="s">
        <v>10</v>
      </c>
    </row>
    <row r="4" spans="1:3" x14ac:dyDescent="0.2">
      <c r="A4" t="s">
        <v>2</v>
      </c>
      <c r="B4" s="4">
        <v>0.02</v>
      </c>
      <c r="C4" t="s">
        <v>11</v>
      </c>
    </row>
    <row r="5" spans="1:3" x14ac:dyDescent="0.2">
      <c r="A5" t="s">
        <v>3</v>
      </c>
      <c r="B5" s="4">
        <v>0.08</v>
      </c>
      <c r="C5" t="s">
        <v>12</v>
      </c>
    </row>
    <row r="6" spans="1:3" x14ac:dyDescent="0.2">
      <c r="A6" t="s">
        <v>4</v>
      </c>
      <c r="B6" s="4">
        <v>1.4999999999999999E-2</v>
      </c>
      <c r="C6" t="s">
        <v>13</v>
      </c>
    </row>
    <row r="7" spans="1:3" x14ac:dyDescent="0.2">
      <c r="A7" t="s">
        <v>6</v>
      </c>
      <c r="B7" s="3">
        <v>25187</v>
      </c>
      <c r="C7" t="s">
        <v>14</v>
      </c>
    </row>
    <row r="8" spans="1:3" x14ac:dyDescent="0.2">
      <c r="A8" t="s">
        <v>7</v>
      </c>
      <c r="B8" s="3">
        <v>2570</v>
      </c>
      <c r="C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04AC-64BB-4327-8D1D-0D00401C4049}">
  <dimension ref="A1:C8"/>
  <sheetViews>
    <sheetView workbookViewId="0">
      <selection activeCell="B8" sqref="B8"/>
    </sheetView>
  </sheetViews>
  <sheetFormatPr baseColWidth="10" defaultColWidth="8.83203125" defaultRowHeight="15" x14ac:dyDescent="0.2"/>
  <cols>
    <col min="1" max="2" width="23.1640625" customWidth="1"/>
    <col min="3" max="3" width="22.33203125" customWidth="1"/>
  </cols>
  <sheetData>
    <row r="1" spans="1:3" ht="16" x14ac:dyDescent="0.2">
      <c r="A1" s="2" t="s">
        <v>16</v>
      </c>
    </row>
    <row r="2" spans="1:3" x14ac:dyDescent="0.2">
      <c r="A2" s="1" t="s">
        <v>17</v>
      </c>
      <c r="B2" s="9" t="s">
        <v>18</v>
      </c>
      <c r="C2" s="5" t="s">
        <v>19</v>
      </c>
    </row>
    <row r="3" spans="1:3" x14ac:dyDescent="0.2">
      <c r="A3">
        <v>0</v>
      </c>
      <c r="B3" s="10">
        <v>10667</v>
      </c>
      <c r="C3" s="4"/>
    </row>
    <row r="4" spans="1:3" x14ac:dyDescent="0.2">
      <c r="A4">
        <f xml:space="preserve"> A3 + 1</f>
        <v>1</v>
      </c>
      <c r="B4" s="10">
        <f>B3*(1+[1]Sheet1!B4)</f>
        <v>10880.34</v>
      </c>
      <c r="C4" s="4">
        <v>0.02</v>
      </c>
    </row>
    <row r="5" spans="1:3" x14ac:dyDescent="0.2">
      <c r="A5">
        <f t="shared" ref="A5:A7" si="0" xml:space="preserve"> A4 + 1</f>
        <v>2</v>
      </c>
      <c r="B5" s="10">
        <f>B4*(1+[1]Sheet1!B4)</f>
        <v>11097.9468</v>
      </c>
      <c r="C5" s="4">
        <v>0.02</v>
      </c>
    </row>
    <row r="6" spans="1:3" x14ac:dyDescent="0.2">
      <c r="A6">
        <f t="shared" si="0"/>
        <v>3</v>
      </c>
      <c r="B6" s="10">
        <f>B5*(1+[1]Sheet1!B4)</f>
        <v>11319.905736000001</v>
      </c>
      <c r="C6" s="4">
        <v>0.02</v>
      </c>
    </row>
    <row r="7" spans="1:3" x14ac:dyDescent="0.2">
      <c r="A7">
        <f t="shared" si="0"/>
        <v>4</v>
      </c>
      <c r="B7" s="10">
        <f>B6*(1+[1]Sheet1!B4)</f>
        <v>11546.303850720002</v>
      </c>
      <c r="C7" s="4">
        <v>0.02</v>
      </c>
    </row>
    <row r="8" spans="1:3" x14ac:dyDescent="0.2">
      <c r="A8">
        <f xml:space="preserve"> A7 + 1</f>
        <v>5</v>
      </c>
      <c r="B8" s="10">
        <f>B7*(1+[1]Sheet1!B4)</f>
        <v>11777.229927734403</v>
      </c>
      <c r="C8" s="4">
        <v>0.02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52E31-124E-4E9B-A9FE-EDBA5A7EA395}">
  <dimension ref="A1:D29"/>
  <sheetViews>
    <sheetView workbookViewId="0">
      <selection activeCell="B3" sqref="B3"/>
    </sheetView>
  </sheetViews>
  <sheetFormatPr baseColWidth="10" defaultColWidth="8.83203125" defaultRowHeight="15" x14ac:dyDescent="0.2"/>
  <cols>
    <col min="1" max="1" width="26.5" customWidth="1"/>
    <col min="2" max="2" width="22.5" customWidth="1"/>
    <col min="3" max="3" width="23.33203125" customWidth="1"/>
    <col min="4" max="4" width="16.1640625" customWidth="1"/>
  </cols>
  <sheetData>
    <row r="1" spans="1:4" ht="16" x14ac:dyDescent="0.2">
      <c r="A1" s="2" t="s">
        <v>20</v>
      </c>
    </row>
    <row r="2" spans="1:4" x14ac:dyDescent="0.2">
      <c r="A2" s="1" t="s">
        <v>17</v>
      </c>
      <c r="B2" s="1" t="s">
        <v>22</v>
      </c>
    </row>
    <row r="3" spans="1:4" x14ac:dyDescent="0.2">
      <c r="A3">
        <v>1</v>
      </c>
      <c r="B3">
        <f>1/(1+[1]Sheet1!B5)^1</f>
        <v>0.92592592592592582</v>
      </c>
    </row>
    <row r="4" spans="1:4" x14ac:dyDescent="0.2">
      <c r="A4">
        <f xml:space="preserve"> A3 + 1</f>
        <v>2</v>
      </c>
      <c r="B4">
        <f>1/(1+[1]Sheet1!B5)^2</f>
        <v>0.85733882030178321</v>
      </c>
    </row>
    <row r="5" spans="1:4" x14ac:dyDescent="0.2">
      <c r="A5">
        <f t="shared" ref="A5:A7" si="0" xml:space="preserve"> A4 + 1</f>
        <v>3</v>
      </c>
      <c r="B5">
        <f xml:space="preserve"> 1/(1+[1]Sheet1!B5)^3</f>
        <v>0.79383224102016958</v>
      </c>
    </row>
    <row r="6" spans="1:4" x14ac:dyDescent="0.2">
      <c r="A6">
        <f t="shared" si="0"/>
        <v>4</v>
      </c>
      <c r="B6">
        <f xml:space="preserve"> 1/(1+[1]Sheet1!B5)^4</f>
        <v>0.73502985279645328</v>
      </c>
    </row>
    <row r="7" spans="1:4" x14ac:dyDescent="0.2">
      <c r="A7">
        <f t="shared" si="0"/>
        <v>5</v>
      </c>
      <c r="B7">
        <f xml:space="preserve"> 1/(1+[1]Sheet1!B5)^5</f>
        <v>0.68058319703375303</v>
      </c>
    </row>
    <row r="9" spans="1:4" ht="16" x14ac:dyDescent="0.2">
      <c r="A9" s="2"/>
    </row>
    <row r="11" spans="1:4" ht="16" x14ac:dyDescent="0.2">
      <c r="A11" s="2" t="s">
        <v>21</v>
      </c>
    </row>
    <row r="12" spans="1:4" x14ac:dyDescent="0.2">
      <c r="A12" s="1" t="s">
        <v>17</v>
      </c>
      <c r="B12" s="6" t="s">
        <v>18</v>
      </c>
      <c r="C12" s="1" t="s">
        <v>22</v>
      </c>
      <c r="D12" s="6" t="s">
        <v>23</v>
      </c>
    </row>
    <row r="13" spans="1:4" x14ac:dyDescent="0.2">
      <c r="A13">
        <v>1</v>
      </c>
      <c r="B13" s="7">
        <f>Sheet2!B4</f>
        <v>10880.34</v>
      </c>
      <c r="C13">
        <f>B3</f>
        <v>0.92592592592592582</v>
      </c>
      <c r="D13" s="7">
        <f>B13*C13</f>
        <v>10074.388888888889</v>
      </c>
    </row>
    <row r="14" spans="1:4" x14ac:dyDescent="0.2">
      <c r="A14">
        <v>2</v>
      </c>
      <c r="B14" s="7">
        <f>Sheet2!B5</f>
        <v>11097.9468</v>
      </c>
      <c r="C14">
        <f t="shared" ref="C14:C17" si="1">B4</f>
        <v>0.85733882030178321</v>
      </c>
      <c r="D14" s="7">
        <f t="shared" ref="D14:D17" si="2">B14*C14</f>
        <v>9514.7006172839501</v>
      </c>
    </row>
    <row r="15" spans="1:4" x14ac:dyDescent="0.2">
      <c r="A15">
        <v>3</v>
      </c>
      <c r="B15" s="7">
        <f>Sheet2!B6</f>
        <v>11319.905736000001</v>
      </c>
      <c r="C15">
        <f t="shared" si="1"/>
        <v>0.79383224102016958</v>
      </c>
      <c r="D15" s="7">
        <f t="shared" si="2"/>
        <v>8986.1061385459525</v>
      </c>
    </row>
    <row r="16" spans="1:4" x14ac:dyDescent="0.2">
      <c r="A16">
        <v>4</v>
      </c>
      <c r="B16" s="7">
        <f>Sheet2!B7</f>
        <v>11546.303850720002</v>
      </c>
      <c r="C16">
        <f t="shared" si="1"/>
        <v>0.73502985279645328</v>
      </c>
      <c r="D16" s="7">
        <f t="shared" si="2"/>
        <v>8486.8780197378437</v>
      </c>
    </row>
    <row r="17" spans="1:4" x14ac:dyDescent="0.2">
      <c r="A17">
        <v>5</v>
      </c>
      <c r="B17" s="7">
        <f>Sheet2!B8</f>
        <v>11777.229927734403</v>
      </c>
      <c r="C17">
        <f t="shared" si="1"/>
        <v>0.68058319703375303</v>
      </c>
      <c r="D17" s="7">
        <f t="shared" si="2"/>
        <v>8015.3847964190763</v>
      </c>
    </row>
    <row r="21" spans="1:4" ht="16" x14ac:dyDescent="0.2">
      <c r="A21" s="8" t="s">
        <v>24</v>
      </c>
    </row>
    <row r="22" spans="1:4" x14ac:dyDescent="0.2">
      <c r="A22" s="7">
        <f>Sheet2!B8*(1+Sheet1!B6)/(Sheet1!B5-Sheet1!B6)</f>
        <v>183905.97502539103</v>
      </c>
    </row>
    <row r="25" spans="1:4" ht="16" x14ac:dyDescent="0.2">
      <c r="A25" s="2" t="s">
        <v>25</v>
      </c>
    </row>
    <row r="26" spans="1:4" x14ac:dyDescent="0.2">
      <c r="A26" s="1" t="s">
        <v>0</v>
      </c>
      <c r="B26" s="6" t="s">
        <v>26</v>
      </c>
    </row>
    <row r="27" spans="1:4" x14ac:dyDescent="0.2">
      <c r="A27" t="s">
        <v>27</v>
      </c>
      <c r="B27" s="7">
        <f>SUM(B13:B17)</f>
        <v>56621.726314454412</v>
      </c>
    </row>
    <row r="28" spans="1:4" x14ac:dyDescent="0.2">
      <c r="A28" t="s">
        <v>28</v>
      </c>
      <c r="B28" s="7">
        <f>A22 / (1 + Sheet1!B5)^5</f>
        <v>125163.31643639016</v>
      </c>
    </row>
    <row r="29" spans="1:4" x14ac:dyDescent="0.2">
      <c r="A29" s="1" t="s">
        <v>29</v>
      </c>
      <c r="B29" s="7">
        <f>SUM(B27:B28)</f>
        <v>181785.04275084456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C1548-3E74-444C-BCF9-5AC7884E2434}">
  <dimension ref="A1:B12"/>
  <sheetViews>
    <sheetView workbookViewId="0">
      <selection activeCell="B18" sqref="B18"/>
    </sheetView>
  </sheetViews>
  <sheetFormatPr baseColWidth="10" defaultColWidth="8.83203125" defaultRowHeight="15" x14ac:dyDescent="0.2"/>
  <cols>
    <col min="1" max="1" width="22.5" customWidth="1"/>
    <col min="2" max="2" width="17" customWidth="1"/>
  </cols>
  <sheetData>
    <row r="1" spans="1:2" ht="16" x14ac:dyDescent="0.2">
      <c r="A1" s="2" t="s">
        <v>30</v>
      </c>
    </row>
    <row r="2" spans="1:2" x14ac:dyDescent="0.2">
      <c r="A2" s="1" t="s">
        <v>0</v>
      </c>
      <c r="B2" s="9" t="s">
        <v>26</v>
      </c>
    </row>
    <row r="3" spans="1:2" x14ac:dyDescent="0.2">
      <c r="A3" t="s">
        <v>29</v>
      </c>
      <c r="B3" s="10">
        <f>Sheet3!B29</f>
        <v>181785.04275084456</v>
      </c>
    </row>
    <row r="4" spans="1:2" x14ac:dyDescent="0.2">
      <c r="A4" t="s">
        <v>31</v>
      </c>
      <c r="B4" s="10">
        <v>39770</v>
      </c>
    </row>
    <row r="5" spans="1:2" x14ac:dyDescent="0.2">
      <c r="A5" s="1" t="s">
        <v>32</v>
      </c>
      <c r="B5" s="10">
        <f>Sheet3!B29 - (B4)</f>
        <v>142015.04275084456</v>
      </c>
    </row>
    <row r="8" spans="1:2" x14ac:dyDescent="0.2">
      <c r="A8" s="1" t="s">
        <v>33</v>
      </c>
    </row>
    <row r="9" spans="1:2" x14ac:dyDescent="0.2">
      <c r="A9" s="1" t="s">
        <v>0</v>
      </c>
      <c r="B9" s="1" t="s">
        <v>8</v>
      </c>
    </row>
    <row r="10" spans="1:2" x14ac:dyDescent="0.2">
      <c r="A10" t="s">
        <v>34</v>
      </c>
      <c r="B10" t="s">
        <v>35</v>
      </c>
    </row>
    <row r="11" spans="1:2" x14ac:dyDescent="0.2">
      <c r="A11" t="s">
        <v>36</v>
      </c>
      <c r="B11" s="3">
        <f xml:space="preserve"> Sheet1!B8</f>
        <v>2570</v>
      </c>
    </row>
    <row r="12" spans="1:2" x14ac:dyDescent="0.2">
      <c r="A12" s="1" t="s">
        <v>37</v>
      </c>
      <c r="B12" s="7">
        <f xml:space="preserve"> B5 / B11</f>
        <v>55.258771498383098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Kesse, Samuel (2023)</dc:creator>
  <cp:lastModifiedBy>Kesse, Samuel (2023)</cp:lastModifiedBy>
  <dcterms:created xsi:type="dcterms:W3CDTF">2026-01-18T23:19:18Z</dcterms:created>
  <dcterms:modified xsi:type="dcterms:W3CDTF">2026-03-16T22:40:51Z</dcterms:modified>
</cp:coreProperties>
</file>