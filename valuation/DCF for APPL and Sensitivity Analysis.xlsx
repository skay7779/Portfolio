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kesse/Finance/Portfolio/DCF Models/"/>
    </mc:Choice>
  </mc:AlternateContent>
  <xr:revisionPtr revIDLastSave="0" documentId="13_ncr:1_{DB5EA3D1-30E9-D941-88EE-7C1ED9FB9257}" xr6:coauthVersionLast="47" xr6:coauthVersionMax="47" xr10:uidLastSave="{00000000-0000-0000-0000-000000000000}"/>
  <bookViews>
    <workbookView xWindow="13980" yWindow="680" windowWidth="15420" windowHeight="17300" activeTab="4" xr2:uid="{ADE7AA9A-B7FA-4823-8525-7AC5BF45E6F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5" i="5"/>
  <c r="B4" i="5"/>
  <c r="B5" i="4"/>
  <c r="B4" i="4"/>
  <c r="B3" i="4"/>
  <c r="C3" i="3"/>
  <c r="B3" i="3"/>
  <c r="D9" i="2"/>
  <c r="C7" i="2"/>
  <c r="C6" i="2"/>
  <c r="C5" i="2"/>
  <c r="C4" i="2"/>
  <c r="C3" i="2"/>
  <c r="B5" i="2"/>
  <c r="B6" i="2"/>
  <c r="B7" i="2"/>
  <c r="B4" i="2"/>
  <c r="B3" i="2"/>
  <c r="D3" i="2"/>
  <c r="D4" i="2"/>
  <c r="D5" i="2" l="1"/>
  <c r="D6" i="2" l="1"/>
  <c r="D7" i="2" l="1"/>
</calcChain>
</file>

<file path=xl/sharedStrings.xml><?xml version="1.0" encoding="utf-8"?>
<sst xmlns="http://schemas.openxmlformats.org/spreadsheetml/2006/main" count="34" uniqueCount="31">
  <si>
    <t>Item</t>
  </si>
  <si>
    <t>Shares Outstanding (m)</t>
  </si>
  <si>
    <t>Year</t>
  </si>
  <si>
    <t>Value</t>
  </si>
  <si>
    <t>Notes</t>
  </si>
  <si>
    <t xml:space="preserve">Year </t>
  </si>
  <si>
    <t>Key Assumptions</t>
  </si>
  <si>
    <t>Current Share Price</t>
  </si>
  <si>
    <t>Latest market price</t>
  </si>
  <si>
    <t>From data</t>
  </si>
  <si>
    <t>Base Year Dividend</t>
  </si>
  <si>
    <t>Dividend per share</t>
  </si>
  <si>
    <t>Dividend Growth Rate</t>
  </si>
  <si>
    <t>Annual dividend growth assumption</t>
  </si>
  <si>
    <t xml:space="preserve">Discount Rate </t>
  </si>
  <si>
    <t>Required return</t>
  </si>
  <si>
    <t>Terminal Growth Rate</t>
  </si>
  <si>
    <t>Long-term growth</t>
  </si>
  <si>
    <t>Dividend Projection (Years 1-5)</t>
  </si>
  <si>
    <t>Present Value Factor</t>
  </si>
  <si>
    <t>Present Value of Dividend</t>
  </si>
  <si>
    <t>Sum PV of dividends</t>
  </si>
  <si>
    <t>Terminal Value at Year 5</t>
  </si>
  <si>
    <t>PV of Terminal Value</t>
  </si>
  <si>
    <t>Terminal Value per share</t>
  </si>
  <si>
    <t>PV of Terminal Value per share</t>
  </si>
  <si>
    <t>Equity Value &amp; Implied Share Price</t>
  </si>
  <si>
    <t>Total PV of Dividends</t>
  </si>
  <si>
    <t>Total Equity Value per Share</t>
  </si>
  <si>
    <t>Growth Rate/ Discount Rate</t>
  </si>
  <si>
    <t>Sensitivity Table (PV per Share)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</si>
</sst>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&quot;£&quot;#,##0"/>
    <numFmt numFmtId="166" formatCode="0.0000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260C1-0ECB-4B38-BDDD-F11B866B1DD9}">
  <dimension ref="A1:C9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27.83203125" customWidth="1"/>
    <col min="2" max="2" width="16.83203125" customWidth="1"/>
    <col min="3" max="3" width="31.5" customWidth="1"/>
  </cols>
  <sheetData>
    <row r="1" spans="1:3" ht="16" x14ac:dyDescent="0.2">
      <c r="A1" s="1" t="s">
        <v>6</v>
      </c>
    </row>
    <row r="2" spans="1:3" x14ac:dyDescent="0.2">
      <c r="A2" s="2" t="s">
        <v>0</v>
      </c>
      <c r="B2" s="2" t="s">
        <v>3</v>
      </c>
      <c r="C2" s="2" t="s">
        <v>4</v>
      </c>
    </row>
    <row r="3" spans="1:3" x14ac:dyDescent="0.2">
      <c r="A3" t="s">
        <v>7</v>
      </c>
      <c r="B3" s="5">
        <v>255.52</v>
      </c>
      <c r="C3" t="s">
        <v>8</v>
      </c>
    </row>
    <row r="4" spans="1:3" x14ac:dyDescent="0.2">
      <c r="A4" t="s">
        <v>1</v>
      </c>
      <c r="B4" s="11">
        <v>14773260000</v>
      </c>
      <c r="C4" t="s">
        <v>9</v>
      </c>
    </row>
    <row r="5" spans="1:3" x14ac:dyDescent="0.2">
      <c r="A5" t="s">
        <v>10</v>
      </c>
      <c r="B5" s="10">
        <v>0.26</v>
      </c>
      <c r="C5" t="s">
        <v>11</v>
      </c>
    </row>
    <row r="6" spans="1:3" x14ac:dyDescent="0.2">
      <c r="A6" t="s">
        <v>12</v>
      </c>
      <c r="B6" s="7">
        <v>0.05</v>
      </c>
      <c r="C6" t="s">
        <v>13</v>
      </c>
    </row>
    <row r="7" spans="1:3" x14ac:dyDescent="0.2">
      <c r="A7" t="s">
        <v>14</v>
      </c>
      <c r="B7" s="7">
        <v>7.0000000000000007E-2</v>
      </c>
      <c r="C7" t="s">
        <v>15</v>
      </c>
    </row>
    <row r="8" spans="1:3" x14ac:dyDescent="0.2">
      <c r="A8" t="s">
        <v>16</v>
      </c>
      <c r="B8" s="7">
        <v>0.03</v>
      </c>
      <c r="C8" t="s">
        <v>17</v>
      </c>
    </row>
    <row r="9" spans="1:3" x14ac:dyDescent="0.2"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363E-B41F-4183-B71F-A10DF4E86783}">
  <dimension ref="A1:D9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20.33203125" customWidth="1"/>
    <col min="2" max="2" width="20.1640625" customWidth="1"/>
    <col min="3" max="3" width="19.6640625" customWidth="1"/>
    <col min="4" max="4" width="23.83203125" customWidth="1"/>
  </cols>
  <sheetData>
    <row r="1" spans="1:4" ht="16" x14ac:dyDescent="0.2">
      <c r="A1" s="1" t="s">
        <v>18</v>
      </c>
    </row>
    <row r="2" spans="1:4" x14ac:dyDescent="0.2">
      <c r="A2" s="2" t="s">
        <v>2</v>
      </c>
      <c r="B2" s="4" t="s">
        <v>11</v>
      </c>
      <c r="C2" s="12" t="s">
        <v>19</v>
      </c>
      <c r="D2" s="14" t="s">
        <v>20</v>
      </c>
    </row>
    <row r="3" spans="1:4" x14ac:dyDescent="0.2">
      <c r="A3">
        <v>1</v>
      </c>
      <c r="B3" s="15">
        <f xml:space="preserve"> 0.26 * 1.05</f>
        <v>0.27300000000000002</v>
      </c>
      <c r="C3" s="13">
        <f xml:space="preserve"> 1/(1+0.07)^1</f>
        <v>0.93457943925233644</v>
      </c>
      <c r="D3" s="15">
        <f>B3*C3</f>
        <v>0.25514018691588786</v>
      </c>
    </row>
    <row r="4" spans="1:4" x14ac:dyDescent="0.2">
      <c r="A4">
        <v>2</v>
      </c>
      <c r="B4" s="15">
        <f xml:space="preserve"> B3 * 1.05</f>
        <v>0.28665000000000002</v>
      </c>
      <c r="C4" s="13">
        <f xml:space="preserve"> 1/(1+0.07)^2</f>
        <v>0.87343872827321156</v>
      </c>
      <c r="D4" s="15">
        <f t="shared" ref="D4:D7" si="0">B4*C4</f>
        <v>0.25037121145951613</v>
      </c>
    </row>
    <row r="5" spans="1:4" x14ac:dyDescent="0.2">
      <c r="A5">
        <v>3</v>
      </c>
      <c r="B5" s="15">
        <f t="shared" ref="B5:B7" si="1" xml:space="preserve"> B4 * 1.05</f>
        <v>0.30098250000000004</v>
      </c>
      <c r="C5" s="13">
        <f xml:space="preserve"> 1/(1+0.07)^3</f>
        <v>0.81629787689085187</v>
      </c>
      <c r="D5" s="15">
        <f t="shared" si="0"/>
        <v>0.24569137573130087</v>
      </c>
    </row>
    <row r="6" spans="1:4" x14ac:dyDescent="0.2">
      <c r="A6">
        <v>4</v>
      </c>
      <c r="B6" s="15">
        <f t="shared" si="1"/>
        <v>0.31603162500000004</v>
      </c>
      <c r="C6" s="13">
        <f xml:space="preserve"> 1/(1+0.07)^4</f>
        <v>0.7628952120475252</v>
      </c>
      <c r="D6" s="15">
        <f t="shared" si="0"/>
        <v>0.24109901356809899</v>
      </c>
    </row>
    <row r="7" spans="1:4" x14ac:dyDescent="0.2">
      <c r="A7">
        <v>5</v>
      </c>
      <c r="B7" s="15">
        <f t="shared" si="1"/>
        <v>0.33183320625000007</v>
      </c>
      <c r="C7" s="13">
        <f xml:space="preserve"> 1/(1+0.07)^5</f>
        <v>0.71298617948366838</v>
      </c>
      <c r="D7" s="15">
        <f t="shared" si="0"/>
        <v>0.2365924899500037</v>
      </c>
    </row>
    <row r="8" spans="1:4" x14ac:dyDescent="0.2">
      <c r="B8" s="15"/>
      <c r="C8" s="13"/>
      <c r="D8" s="15"/>
    </row>
    <row r="9" spans="1:4" x14ac:dyDescent="0.2">
      <c r="A9" s="2" t="s">
        <v>21</v>
      </c>
      <c r="D9" s="15">
        <f>SUM(D3:D7)</f>
        <v>1.2288942776248075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847C-CCE6-422B-88F2-F6B3B9A30ACB}">
  <dimension ref="A1:D9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23.5" customWidth="1"/>
    <col min="3" max="3" width="28.1640625" customWidth="1"/>
    <col min="4" max="4" width="16" customWidth="1"/>
  </cols>
  <sheetData>
    <row r="1" spans="1:4" ht="16" x14ac:dyDescent="0.2">
      <c r="A1" s="1" t="s">
        <v>22</v>
      </c>
    </row>
    <row r="2" spans="1:4" x14ac:dyDescent="0.2">
      <c r="A2" s="2" t="s">
        <v>5</v>
      </c>
      <c r="B2" s="4" t="s">
        <v>24</v>
      </c>
      <c r="C2" s="2" t="s">
        <v>25</v>
      </c>
      <c r="D2" s="8"/>
    </row>
    <row r="3" spans="1:4" x14ac:dyDescent="0.2">
      <c r="A3">
        <v>5</v>
      </c>
      <c r="B3" s="5">
        <f xml:space="preserve"> (Sheet2!B7 * (1 + 0.03))/(0.07-0.03)</f>
        <v>8.5447050609375008</v>
      </c>
      <c r="C3" s="5">
        <f xml:space="preserve"> 8.54/(1 + 0.07)^5</f>
        <v>6.0889019727905271</v>
      </c>
      <c r="D3" s="9"/>
    </row>
    <row r="4" spans="1:4" x14ac:dyDescent="0.2">
      <c r="B4" s="5"/>
      <c r="D4" s="9"/>
    </row>
    <row r="5" spans="1:4" x14ac:dyDescent="0.2">
      <c r="B5" s="5"/>
      <c r="D5" s="9"/>
    </row>
    <row r="6" spans="1:4" x14ac:dyDescent="0.2">
      <c r="B6" s="5"/>
      <c r="D6" s="9"/>
    </row>
    <row r="7" spans="1:4" x14ac:dyDescent="0.2">
      <c r="B7" s="5"/>
      <c r="D7" s="9"/>
    </row>
    <row r="9" spans="1:4" x14ac:dyDescent="0.2">
      <c r="A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6FE4-0090-4145-8F7B-E86ED3BC22A7}">
  <dimension ref="A1:C5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5.1640625" customWidth="1"/>
    <col min="2" max="2" width="19.33203125" customWidth="1"/>
  </cols>
  <sheetData>
    <row r="1" spans="1:3" ht="16" x14ac:dyDescent="0.2">
      <c r="A1" s="1" t="s">
        <v>26</v>
      </c>
    </row>
    <row r="2" spans="1:3" x14ac:dyDescent="0.2">
      <c r="A2" s="2" t="s">
        <v>0</v>
      </c>
      <c r="B2" s="2" t="s">
        <v>3</v>
      </c>
      <c r="C2" s="2"/>
    </row>
    <row r="3" spans="1:3" x14ac:dyDescent="0.2">
      <c r="A3" t="s">
        <v>27</v>
      </c>
      <c r="B3" s="15">
        <f xml:space="preserve"> Sheet2!D9</f>
        <v>1.2288942776248075</v>
      </c>
    </row>
    <row r="4" spans="1:3" x14ac:dyDescent="0.2">
      <c r="A4" t="s">
        <v>23</v>
      </c>
      <c r="B4" s="5">
        <f xml:space="preserve"> Sheet3!C3</f>
        <v>6.0889019727905271</v>
      </c>
    </row>
    <row r="5" spans="1:3" x14ac:dyDescent="0.2">
      <c r="A5" t="s">
        <v>28</v>
      </c>
      <c r="B5" s="10">
        <f xml:space="preserve"> B3 + B4</f>
        <v>7.3177962504153342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B1A5-DB60-46E2-AE1C-C20960C78676}">
  <dimension ref="A1:D5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29" customWidth="1"/>
  </cols>
  <sheetData>
    <row r="1" spans="1:4" ht="16" x14ac:dyDescent="0.2">
      <c r="A1" s="1" t="s">
        <v>30</v>
      </c>
    </row>
    <row r="2" spans="1:4" x14ac:dyDescent="0.2">
      <c r="A2" s="2" t="s">
        <v>29</v>
      </c>
      <c r="B2" s="16">
        <v>0.06</v>
      </c>
      <c r="C2" s="16">
        <v>7.0000000000000007E-2</v>
      </c>
      <c r="D2" s="2">
        <v>8</v>
      </c>
    </row>
    <row r="3" spans="1:4" x14ac:dyDescent="0.2">
      <c r="A3" s="6">
        <v>0.04</v>
      </c>
      <c r="B3" s="10">
        <f xml:space="preserve"> (Sheet2!D9) + (0.332 * (1+0.04)/(0.06-0.04)/(1+0.06)^5)</f>
        <v>14.129559373984415</v>
      </c>
      <c r="C3" s="10">
        <v>12.5</v>
      </c>
      <c r="D3" s="10">
        <v>11</v>
      </c>
    </row>
    <row r="4" spans="1:4" x14ac:dyDescent="0.2">
      <c r="A4" s="6">
        <v>0.05</v>
      </c>
      <c r="B4" s="10">
        <f xml:space="preserve"> (Sheet2!D9) + (0.332 * (1+0.05)/(0.06-0.05)/(1+0.06)^5)</f>
        <v>27.278314183735567</v>
      </c>
      <c r="C4" s="10">
        <v>21</v>
      </c>
      <c r="D4" s="10">
        <v>18.329999999999998</v>
      </c>
    </row>
    <row r="5" spans="1:4" x14ac:dyDescent="0.2">
      <c r="A5" s="6">
        <v>0.06</v>
      </c>
      <c r="B5" s="10">
        <f xml:space="preserve"> (Sheet2!D9) + (0.332 * (1+0.06)/(0.07-0.06)/(1+0.06)^5)</f>
        <v>27.526403897127061</v>
      </c>
      <c r="C5" s="10">
        <v>22</v>
      </c>
      <c r="D5" s="10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Kesse, Samuel (2023)</dc:creator>
  <cp:lastModifiedBy>Kesse, Samuel (2023)</cp:lastModifiedBy>
  <dcterms:created xsi:type="dcterms:W3CDTF">2026-01-19T02:42:04Z</dcterms:created>
  <dcterms:modified xsi:type="dcterms:W3CDTF">2026-03-17T00:32:15Z</dcterms:modified>
</cp:coreProperties>
</file>