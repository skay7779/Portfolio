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ividend Projection" sheetId="2" state="visible" r:id="rId4"/>
    <sheet name="Valuation" sheetId="3" state="visible" r:id="rId5"/>
    <sheet name="Sensitivity" sheetId="4" state="visible" r:id="rId6"/>
    <sheet name="Interpret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<sst xmlns="http://schemas.openxmlformats.org/spreadsheetml/2006/main" count="47" uniqueCount="45">
  <si>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Apple Inc. (AAPL) – Dividend Discount Model Assumptions</t>
  </si>
  <si>
    <t xml:space="preserve">Item</t>
  </si>
  <si>
    <t xml:space="preserve">Value</t>
  </si>
  <si>
    <t xml:space="preserve">Notes / source</t>
  </si>
  <si>
    <t xml:space="preserve">Current Share Price ($)</t>
  </si>
  <si>
    <t xml:space="preserve">Author’s figure at time of analysis</t>
  </si>
  <si>
    <t xml:space="preserve">Shares Outstanding (m)</t>
  </si>
  <si>
    <t xml:space="preserve">≈14.77bn shares (author’s data)</t>
  </si>
  <si>
    <t xml:space="preserve">Quarterly Dividend per Share ($)</t>
  </si>
  <si>
    <t xml:space="preserve">Apple pays dividends quarterly: confirm latest declared amount</t>
  </si>
  <si>
    <t xml:space="preserve">Annual Dividend (D0, $)</t>
  </si>
  <si>
    <t xml:space="preserve">Quarterly × 4</t>
  </si>
  <si>
    <t xml:space="preserve">Dividend Growth Rate (Years 1–5)</t>
  </si>
  <si>
    <t xml:space="preserve">Assumption</t>
  </si>
  <si>
    <t xml:space="preserve">Discount Rate (Required Return)</t>
  </si>
  <si>
    <t xml:space="preserve">Terminal Growth Rate</t>
  </si>
  <si>
    <t xml:space="preserve">Long-term growth assumption</t>
  </si>
  <si>
    <t xml:space="preserve">Dividend Projection (Years 1–5)</t>
  </si>
  <si>
    <t xml:space="preserve">Year</t>
  </si>
  <si>
    <t xml:space="preserve">Dividend per Share ($)</t>
  </si>
  <si>
    <t xml:space="preserve">PV Factor</t>
  </si>
  <si>
    <t xml:space="preserve">PV of Dividend ($)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</si>
  <si>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</si>
  <si>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</si>
  <si>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</si>
  <si>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</si>
  <si>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</si>
  <si>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Sum of PV of dividends</t>
  </si>
  <si>
    <t xml:space="preserve">Terminal Value, Equity Value &amp; Comparison to Market</t>
  </si>
  <si>
    <t xml:space="preserve">Value ($)</t>
  </si>
  <si>
    <t xml:space="preserve">Terminal Value at Year 5</t>
  </si>
  <si>
    <t xml:space="preserve">PV of Terminal Value</t>
  </si>
  <si>
    <t xml:space="preserve">PV of Dividends (Years 1–5)</t>
  </si>
  <si>
    <t xml:space="preserve">Intrinsic Value per Share (DDM)</t>
  </si>
  <si>
    <t xml:space="preserve">Current Share Price</t>
  </si>
  <si>
    <t xml:space="preserve">DDM value as % of market price</t>
  </si>
  <si>
    <t xml:space="preserve">Intrinsic Value per Share ($): Discount Rate vs Terminal Growth</t>
  </si>
  <si>
    <t xml:space="preserve">Rows: terminal growth. Columns: discount rate. Each cell recalculates the full model.</t>
  </si>
  <si>
    <t xml:space="preserve">g \ r</t>
  </si>
  <si>
    <t xml:space="preserve">Why the DDM undervalues Apple</t>
  </si>
  <si>
    <t xml:space="preserve">The dividend discount model values a share only on the dividends it pays.</t>
  </si>
  <si>
    <t xml:space="preserve">Apple returns most of its cash to shareholders through share buybacks rather than dividends, so its dividend is small relative to its share price.</t>
  </si>
  <si>
    <t xml:space="preserve">As a result the DDM produces an intrinsic value far below the market price (see 'DDM value as % of market price' on the Valuation sheet).</t>
  </si>
  <si>
    <t xml:space="preserve">This does not mean Apple is overvalued by that amount: it shows the DDM is the wrong tool for a company with a low payout ratio.</t>
  </si>
  <si>
    <t xml:space="preserve">A free cash flow DCF (as used for BP) or a total shareholder yield model (dividends + buybacks) would be more appropriate for Apple.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</si>
</sst>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#,##0"/>
    <numFmt numFmtId="167" formatCode="0.0%;\(0.0%\);\-"/>
    <numFmt numFmtId="168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33A"/>
        <bgColor rgb="FF003366"/>
      </patternFill>
    </fill>
    <fill>
      <patternFill patternType="solid">
        <fgColor rgb="FFE7EB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7EB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false" outlineLevel="0" collapsed="false">
      <c r="A3" s="4" t="s">
        <v>4</v>
      </c>
      <c r="B3" s="5" t="n">
        <v>255.52</v>
      </c>
      <c r="C3" s="4" t="s">
        <v>5</v>
      </c>
    </row>
    <row r="4" customFormat="false" ht="15" hidden="false" customHeight="false" outlineLevel="0" collapsed="false">
      <c r="A4" s="4" t="s">
        <v>6</v>
      </c>
      <c r="B4" s="6" t="n">
        <v>14773</v>
      </c>
      <c r="C4" s="4" t="s">
        <v>7</v>
      </c>
    </row>
    <row r="5" customFormat="false" ht="15" hidden="false" customHeight="false" outlineLevel="0" collapsed="false">
      <c r="A5" s="4" t="s">
        <v>8</v>
      </c>
      <c r="B5" s="5" t="n">
        <v>0.26</v>
      </c>
      <c r="C5" s="4" t="s">
        <v>9</v>
      </c>
    </row>
    <row r="6" customFormat="false" ht="15" hidden="false" customHeight="false" outlineLevel="0" collapsed="false">
      <c r="A6" s="4" t="s">
        <v>10</v>
      </c>
      <c r="B6" s="7" t="n">
        <f aca="false">B5*4</f>
        <v>1.04</v>
      </c>
      <c r="C6" s="4" t="s">
        <v>11</v>
      </c>
    </row>
    <row r="7" customFormat="false" ht="15" hidden="false" customHeight="false" outlineLevel="0" collapsed="false">
      <c r="A7" s="4" t="s">
        <v>12</v>
      </c>
      <c r="B7" s="8" t="n">
        <v>0.05</v>
      </c>
      <c r="C7" s="4" t="s">
        <v>13</v>
      </c>
    </row>
    <row r="8" customFormat="false" ht="15" hidden="false" customHeight="false" outlineLevel="0" collapsed="false">
      <c r="A8" s="4" t="s">
        <v>14</v>
      </c>
      <c r="B8" s="8" t="n">
        <v>0.07</v>
      </c>
      <c r="C8" s="4" t="s">
        <v>13</v>
      </c>
    </row>
    <row r="9" customFormat="false" ht="15" hidden="false" customHeight="false" outlineLevel="0" collapsed="false">
      <c r="A9" s="4" t="s">
        <v>15</v>
      </c>
      <c r="B9" s="8" t="n">
        <v>0.03</v>
      </c>
      <c r="C9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17</v>
      </c>
      <c r="B1" s="2"/>
      <c r="C1" s="2"/>
      <c r="D1" s="2"/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</row>
    <row r="3" customFormat="false" ht="15" hidden="false" customHeight="false" outlineLevel="0" collapsed="false">
      <c r="A3" s="4" t="s">
        <v>22</v>
      </c>
      <c r="B3" s="7" t="n">
        <f aca="false">Assumptions!B6*(1+Assumptions!$B$7)</f>
        <v>1.092</v>
      </c>
      <c r="C3" s="9" t="n">
        <f aca="false">1/(1+Assumptions!$B$8)^1</f>
        <v>0.934579439252336</v>
      </c>
      <c r="D3" s="7" t="n">
        <f aca="false">B3*C3</f>
        <v>1.02056074766355</v>
      </c>
    </row>
    <row r="4" customFormat="false" ht="15" hidden="false" customHeight="false" outlineLevel="0" collapsed="false">
      <c r="A4" s="4" t="s">
        <v>23</v>
      </c>
      <c r="B4" s="7" t="n">
        <f aca="false">B3*(1+Assumptions!$B$7)</f>
        <v>1.1466</v>
      </c>
      <c r="C4" s="9" t="n">
        <f aca="false">1/(1+Assumptions!$B$8)^2</f>
        <v>0.873438728273212</v>
      </c>
      <c r="D4" s="7" t="n">
        <f aca="false">B4*C4</f>
        <v>1.00148484583806</v>
      </c>
    </row>
    <row r="5" customFormat="false" ht="15" hidden="false" customHeight="false" outlineLevel="0" collapsed="false">
      <c r="A5" s="4" t="s">
        <v>24</v>
      </c>
      <c r="B5" s="7" t="n">
        <f aca="false">B4*(1+Assumptions!$B$7)</f>
        <v>1.20393</v>
      </c>
      <c r="C5" s="9" t="n">
        <f aca="false">1/(1+Assumptions!$B$8)^3</f>
        <v>0.816297876890852</v>
      </c>
      <c r="D5" s="7" t="n">
        <f aca="false">B5*C5</f>
        <v>0.982765502925204</v>
      </c>
    </row>
    <row r="6" customFormat="false" ht="15" hidden="false" customHeight="false" outlineLevel="0" collapsed="false">
      <c r="A6" s="4" t="s">
        <v>25</v>
      </c>
      <c r="B6" s="7" t="n">
        <f aca="false">B5*(1+Assumptions!$B$7)</f>
        <v>1.2641265</v>
      </c>
      <c r="C6" s="9" t="n">
        <f aca="false">1/(1+Assumptions!$B$8)^4</f>
        <v>0.762895212047525</v>
      </c>
      <c r="D6" s="7" t="n">
        <f aca="false">B6*C6</f>
        <v>0.964396054272396</v>
      </c>
    </row>
    <row r="7" customFormat="false" ht="15" hidden="false" customHeight="false" outlineLevel="0" collapsed="false">
      <c r="A7" s="4" t="s">
        <v>26</v>
      </c>
      <c r="B7" s="7" t="n">
        <f aca="false">B6*(1+Assumptions!$B$7)</f>
        <v>1.327332825</v>
      </c>
      <c r="C7" s="9" t="n">
        <f aca="false">1/(1+Assumptions!$B$8)^5</f>
        <v>0.712986179483668</v>
      </c>
      <c r="D7" s="7" t="n">
        <f aca="false">B7*C7</f>
        <v>0.946369959800015</v>
      </c>
    </row>
    <row r="9" customFormat="false" ht="15" hidden="false" customHeight="false" outlineLevel="0" collapsed="false">
      <c r="A9" s="10" t="s">
        <v>27</v>
      </c>
      <c r="D9" s="7" t="n">
        <f aca="false">SUM(D3:D7)</f>
        <v>4.91557711049923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28</v>
      </c>
      <c r="B1" s="2"/>
    </row>
    <row r="2" customFormat="false" ht="15" hidden="false" customHeight="false" outlineLevel="0" collapsed="false">
      <c r="A2" s="3" t="s">
        <v>1</v>
      </c>
      <c r="B2" s="3" t="s">
        <v>29</v>
      </c>
    </row>
    <row r="3" customFormat="false" ht="15" hidden="false" customHeight="false" outlineLevel="0" collapsed="false">
      <c r="A3" s="4" t="s">
        <v>30</v>
      </c>
      <c r="B3" s="7" t="n">
        <f aca="false">'Dividend Projection'!B7*(1+Assumptions!B9)/(Assumptions!B8-Assumptions!B9)</f>
        <v>34.17882024375</v>
      </c>
    </row>
    <row r="4" customFormat="false" ht="15" hidden="false" customHeight="false" outlineLevel="0" collapsed="false">
      <c r="A4" s="4" t="s">
        <v>31</v>
      </c>
      <c r="B4" s="7" t="n">
        <f aca="false">B3/(1+Assumptions!B8)^5</f>
        <v>24.3690264648504</v>
      </c>
    </row>
    <row r="5" customFormat="false" ht="15" hidden="false" customHeight="false" outlineLevel="0" collapsed="false">
      <c r="A5" s="4" t="s">
        <v>32</v>
      </c>
      <c r="B5" s="11" t="n">
        <f aca="false">'Dividend Projection'!D9</f>
        <v>4.91557711049923</v>
      </c>
    </row>
    <row r="6" customFormat="false" ht="15" hidden="false" customHeight="false" outlineLevel="0" collapsed="false">
      <c r="A6" s="10" t="s">
        <v>33</v>
      </c>
      <c r="B6" s="7" t="n">
        <f aca="false">B4+B5</f>
        <v>29.2846035753496</v>
      </c>
    </row>
    <row r="7" customFormat="false" ht="15" hidden="false" customHeight="false" outlineLevel="0" collapsed="false">
      <c r="A7" s="4" t="s">
        <v>34</v>
      </c>
      <c r="B7" s="11" t="n">
        <f aca="false">Assumptions!B3</f>
        <v>255.52</v>
      </c>
    </row>
    <row r="8" customFormat="false" ht="15" hidden="false" customHeight="false" outlineLevel="0" collapsed="false">
      <c r="A8" s="4" t="s">
        <v>35</v>
      </c>
      <c r="B8" s="12" t="n">
        <f aca="false">B6/B7</f>
        <v>0.114607872477104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1" t="s">
        <v>36</v>
      </c>
      <c r="B1" s="2"/>
      <c r="C1" s="2"/>
      <c r="D1" s="2"/>
    </row>
    <row r="2" customFormat="false" ht="15" hidden="false" customHeight="false" outlineLevel="0" collapsed="false">
      <c r="A2" s="13" t="s">
        <v>37</v>
      </c>
    </row>
    <row r="3" customFormat="false" ht="15" hidden="false" customHeight="false" outlineLevel="0" collapsed="false">
      <c r="A3" s="3" t="s">
        <v>38</v>
      </c>
      <c r="B3" s="14" t="n">
        <v>0.06</v>
      </c>
      <c r="C3" s="14" t="n">
        <v>0.07</v>
      </c>
      <c r="D3" s="14" t="n">
        <v>0.08</v>
      </c>
      <c r="E3" s="14" t="n">
        <v>0.09</v>
      </c>
    </row>
    <row r="4" customFormat="false" ht="15" hidden="false" customHeight="false" outlineLevel="0" collapsed="false">
      <c r="A4" s="14" t="n">
        <v>0.02</v>
      </c>
      <c r="B4" s="7" t="n">
        <f aca="false">IF(B$3&lt;=$A4,"n/a",(Assumptions!$B$6*(1+Assumptions!$B$7)^1/(1+B$3)^1+Assumptions!$B$6*(1+Assumptions!$B$7)^2/(1+B$3)^2+Assumptions!$B$6*(1+Assumptions!$B$7)^3/(1+B$3)^3+Assumptions!$B$6*(1+Assumptions!$B$7)^4/(1+B$3)^4+Assumptions!$B$6*(1+Assumptions!$B$7)^5/(1+B$3)^5)+Assumptions!$B$6*(1+Assumptions!$B$7)^5*(1+$A4)/(B$3-$A4)/(1+B$3)^5)</f>
        <v>30.347106023226</v>
      </c>
      <c r="C4" s="7" t="n">
        <f aca="false">IF(C$3&lt;=$A4,"n/a",(Assumptions!$B$6*(1+Assumptions!$B$7)^1/(1+C$3)^1+Assumptions!$B$6*(1+Assumptions!$B$7)^2/(1+C$3)^2+Assumptions!$B$6*(1+Assumptions!$B$7)^3/(1+C$3)^3+Assumptions!$B$6*(1+Assumptions!$B$7)^4/(1+C$3)^4+Assumptions!$B$6*(1+Assumptions!$B$7)^5/(1+C$3)^5)+Assumptions!$B$6*(1+Assumptions!$B$7)^5*(1+$A4)/(C$3-$A4)/(1+C$3)^5)</f>
        <v>24.2215242904195</v>
      </c>
      <c r="D4" s="7" t="n">
        <f aca="false">IF(D$3&lt;=$A4,"n/a",(Assumptions!$B$6*(1+Assumptions!$B$7)^1/(1+D$3)^1+Assumptions!$B$6*(1+Assumptions!$B$7)^2/(1+D$3)^2+Assumptions!$B$6*(1+Assumptions!$B$7)^3/(1+D$3)^3+Assumptions!$B$6*(1+Assumptions!$B$7)^4/(1+D$3)^4+Assumptions!$B$6*(1+Assumptions!$B$7)^5/(1+D$3)^5)+Assumptions!$B$6*(1+Assumptions!$B$7)^5*(1+$A4)/(D$3-$A4)/(1+D$3)^5)</f>
        <v>20.1395124838058</v>
      </c>
      <c r="E4" s="7" t="n">
        <f aca="false">IF(E$3&lt;=$A4,"n/a",(Assumptions!$B$6*(1+Assumptions!$B$7)^1/(1+E$3)^1+Assumptions!$B$6*(1+Assumptions!$B$7)^2/(1+E$3)^2+Assumptions!$B$6*(1+Assumptions!$B$7)^3/(1+E$3)^3+Assumptions!$B$6*(1+Assumptions!$B$7)^4/(1+E$3)^4+Assumptions!$B$6*(1+Assumptions!$B$7)^5/(1+E$3)^5)+Assumptions!$B$6*(1+Assumptions!$B$7)^5*(1+$A4)/(E$3-$A4)/(1+E$3)^5)</f>
        <v>17.2251853210244</v>
      </c>
    </row>
    <row r="5" customFormat="false" ht="15" hidden="false" customHeight="false" outlineLevel="0" collapsed="false">
      <c r="A5" s="14" t="n">
        <v>0.025</v>
      </c>
      <c r="B5" s="7" t="n">
        <f aca="false">IF(B$3&lt;=$A5,"n/a",(Assumptions!$B$6*(1+Assumptions!$B$7)^1/(1+B$3)^1+Assumptions!$B$6*(1+Assumptions!$B$7)^2/(1+B$3)^2+Assumptions!$B$6*(1+Assumptions!$B$7)^3/(1+B$3)^3+Assumptions!$B$6*(1+Assumptions!$B$7)^4/(1+B$3)^4+Assumptions!$B$6*(1+Assumptions!$B$7)^5/(1+B$3)^5)+Assumptions!$B$6*(1+Assumptions!$B$7)^5*(1+$A5)/(B$3-$A5)/(1+B$3)^5)</f>
        <v>34.1020057364057</v>
      </c>
      <c r="C5" s="7" t="n">
        <f aca="false">IF(C$3&lt;=$A5,"n/a",(Assumptions!$B$6*(1+Assumptions!$B$7)^1/(1+C$3)^1+Assumptions!$B$6*(1+Assumptions!$B$7)^2/(1+C$3)^2+Assumptions!$B$6*(1+Assumptions!$B$7)^3/(1+C$3)^3+Assumptions!$B$6*(1+Assumptions!$B$7)^4/(1+C$3)^4+Assumptions!$B$6*(1+Assumptions!$B$7)^5/(1+C$3)^5)+Assumptions!$B$6*(1+Assumptions!$B$7)^5*(1+$A5)/(C$3-$A5)/(1+C$3)^5)</f>
        <v>26.4717817503885</v>
      </c>
      <c r="D5" s="7" t="n">
        <f aca="false">IF(D$3&lt;=$A5,"n/a",(Assumptions!$B$6*(1+Assumptions!$B$7)^1/(1+D$3)^1+Assumptions!$B$6*(1+Assumptions!$B$7)^2/(1+D$3)^2+Assumptions!$B$6*(1+Assumptions!$B$7)^3/(1+D$3)^3+Assumptions!$B$6*(1+Assumptions!$B$7)^4/(1+D$3)^4+Assumptions!$B$6*(1+Assumptions!$B$7)^5/(1+D$3)^5)+Assumptions!$B$6*(1+Assumptions!$B$7)^5*(1+$A5)/(D$3-$A5)/(1+D$3)^5)</f>
        <v>21.6177386216417</v>
      </c>
      <c r="E5" s="7" t="n">
        <f aca="false">IF(E$3&lt;=$A5,"n/a",(Assumptions!$B$6*(1+Assumptions!$B$7)^1/(1+E$3)^1+Assumptions!$B$6*(1+Assumptions!$B$7)^2/(1+E$3)^2+Assumptions!$B$6*(1+Assumptions!$B$7)^3/(1+E$3)^3+Assumptions!$B$6*(1+Assumptions!$B$7)^4/(1+E$3)^4+Assumptions!$B$6*(1+Assumptions!$B$7)^5/(1+E$3)^5)+Assumptions!$B$6*(1+Assumptions!$B$7)^5*(1+$A5)/(E$3-$A5)/(1+E$3)^5)</f>
        <v>18.2584996470732</v>
      </c>
    </row>
    <row r="6" customFormat="false" ht="15" hidden="false" customHeight="false" outlineLevel="0" collapsed="false">
      <c r="A6" s="14" t="n">
        <v>0.03</v>
      </c>
      <c r="B6" s="7" t="n">
        <f aca="false">IF(B$3&lt;=$A6,"n/a",(Assumptions!$B$6*(1+Assumptions!$B$7)^1/(1+B$3)^1+Assumptions!$B$6*(1+Assumptions!$B$7)^2/(1+B$3)^2+Assumptions!$B$6*(1+Assumptions!$B$7)^3/(1+B$3)^3+Assumptions!$B$6*(1+Assumptions!$B$7)^4/(1+B$3)^4+Assumptions!$B$6*(1+Assumptions!$B$7)^5/(1+B$3)^5)+Assumptions!$B$6*(1+Assumptions!$B$7)^5*(1+$A6)/(B$3-$A6)/(1+B$3)^5)</f>
        <v>39.108538687312</v>
      </c>
      <c r="C6" s="7" t="n">
        <f aca="false">IF(C$3&lt;=$A6,"n/a",(Assumptions!$B$6*(1+Assumptions!$B$7)^1/(1+C$3)^1+Assumptions!$B$6*(1+Assumptions!$B$7)^2/(1+C$3)^2+Assumptions!$B$6*(1+Assumptions!$B$7)^3/(1+C$3)^3+Assumptions!$B$6*(1+Assumptions!$B$7)^4/(1+C$3)^4+Assumptions!$B$6*(1+Assumptions!$B$7)^5/(1+C$3)^5)+Assumptions!$B$6*(1+Assumptions!$B$7)^5*(1+$A6)/(C$3-$A6)/(1+C$3)^5)</f>
        <v>29.2846035753496</v>
      </c>
      <c r="D6" s="7" t="n">
        <f aca="false">IF(D$3&lt;=$A6,"n/a",(Assumptions!$B$6*(1+Assumptions!$B$7)^1/(1+D$3)^1+Assumptions!$B$6*(1+Assumptions!$B$7)^2/(1+D$3)^2+Assumptions!$B$6*(1+Assumptions!$B$7)^3/(1+D$3)^3+Assumptions!$B$6*(1+Assumptions!$B$7)^4/(1+D$3)^4+Assumptions!$B$6*(1+Assumptions!$B$7)^5/(1+D$3)^5)+Assumptions!$B$6*(1+Assumptions!$B$7)^5*(1+$A6)/(D$3-$A6)/(1+D$3)^5)</f>
        <v>23.3916099870447</v>
      </c>
      <c r="E6" s="7" t="n">
        <f aca="false">IF(E$3&lt;=$A6,"n/a",(Assumptions!$B$6*(1+Assumptions!$B$7)^1/(1+E$3)^1+Assumptions!$B$6*(1+Assumptions!$B$7)^2/(1+E$3)^2+Assumptions!$B$6*(1+Assumptions!$B$7)^3/(1+E$3)^3+Assumptions!$B$6*(1+Assumptions!$B$7)^4/(1+E$3)^4+Assumptions!$B$6*(1+Assumptions!$B$7)^5/(1+E$3)^5)+Assumptions!$B$6*(1+Assumptions!$B$7)^5*(1+$A6)/(E$3-$A6)/(1+E$3)^5)</f>
        <v>19.4640330274634</v>
      </c>
    </row>
    <row r="7" customFormat="false" ht="15" hidden="false" customHeight="false" outlineLevel="0" collapsed="false">
      <c r="A7" s="14" t="n">
        <v>0.035</v>
      </c>
      <c r="B7" s="7" t="n">
        <f aca="false">IF(B$3&lt;=$A7,"n/a",(Assumptions!$B$6*(1+Assumptions!$B$7)^1/(1+B$3)^1+Assumptions!$B$6*(1+Assumptions!$B$7)^2/(1+B$3)^2+Assumptions!$B$6*(1+Assumptions!$B$7)^3/(1+B$3)^3+Assumptions!$B$6*(1+Assumptions!$B$7)^4/(1+B$3)^4+Assumptions!$B$6*(1+Assumptions!$B$7)^5/(1+B$3)^5)+Assumptions!$B$6*(1+Assumptions!$B$7)^5*(1+$A7)/(B$3-$A7)/(1+B$3)^5)</f>
        <v>46.1176848185808</v>
      </c>
      <c r="C7" s="7" t="n">
        <f aca="false">IF(C$3&lt;=$A7,"n/a",(Assumptions!$B$6*(1+Assumptions!$B$7)^1/(1+C$3)^1+Assumptions!$B$6*(1+Assumptions!$B$7)^2/(1+C$3)^2+Assumptions!$B$6*(1+Assumptions!$B$7)^3/(1+C$3)^3+Assumptions!$B$6*(1+Assumptions!$B$7)^4/(1+C$3)^4+Assumptions!$B$6*(1+Assumptions!$B$7)^5/(1+C$3)^5)+Assumptions!$B$6*(1+Assumptions!$B$7)^5*(1+$A7)/(C$3-$A7)/(1+C$3)^5)</f>
        <v>32.9010887788711</v>
      </c>
      <c r="D7" s="7" t="n">
        <f aca="false">IF(D$3&lt;=$A7,"n/a",(Assumptions!$B$6*(1+Assumptions!$B$7)^1/(1+D$3)^1+Assumptions!$B$6*(1+Assumptions!$B$7)^2/(1+D$3)^2+Assumptions!$B$6*(1+Assumptions!$B$7)^3/(1+D$3)^3+Assumptions!$B$6*(1+Assumptions!$B$7)^4/(1+D$3)^4+Assumptions!$B$6*(1+Assumptions!$B$7)^5/(1+D$3)^5)+Assumptions!$B$6*(1+Assumptions!$B$7)^5*(1+$A7)/(D$3-$A7)/(1+D$3)^5)</f>
        <v>25.5596749892039</v>
      </c>
      <c r="E7" s="7" t="n">
        <f aca="false">IF(E$3&lt;=$A7,"n/a",(Assumptions!$B$6*(1+Assumptions!$B$7)^1/(1+E$3)^1+Assumptions!$B$6*(1+Assumptions!$B$7)^2/(1+E$3)^2+Assumptions!$B$6*(1+Assumptions!$B$7)^3/(1+E$3)^3+Assumptions!$B$6*(1+Assumptions!$B$7)^4/(1+E$3)^4+Assumptions!$B$6*(1+Assumptions!$B$7)^5/(1+E$3)^5)+Assumptions!$B$6*(1+Assumptions!$B$7)^5*(1+$A7)/(E$3-$A7)/(1+E$3)^5)</f>
        <v>20.8887542951974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39</v>
      </c>
    </row>
    <row r="3" customFormat="false" ht="15" hidden="false" customHeight="false" outlineLevel="0" collapsed="false">
      <c r="A3" s="15" t="s">
        <v>40</v>
      </c>
    </row>
    <row r="4" customFormat="false" ht="23.85" hidden="false" customHeight="false" outlineLevel="0" collapsed="false">
      <c r="A4" s="15" t="s">
        <v>41</v>
      </c>
    </row>
    <row r="5" customFormat="false" ht="23.85" hidden="false" customHeight="false" outlineLevel="0" collapsed="false">
      <c r="A5" s="15" t="s">
        <v>42</v>
      </c>
    </row>
    <row r="6" customFormat="false" ht="15" hidden="false" customHeight="false" outlineLevel="0" collapsed="false">
      <c r="A6" s="15" t="s">
        <v>43</v>
      </c>
    </row>
    <row r="7" customFormat="false" ht="15" hidden="false" customHeight="false" outlineLevel="0" collapsed="false">
      <c r="A7" s="1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2026-10-11T18:59:49Z</dcterms:created>
  <dc:creator>openpyxl</dc:creator>
  <dc:description/>
  <dc:language>en-US</dc:language>
  <cp:lastModifiedBy/>
  <dcterms:modified xsi:type="dcterms:W3CDTF">2026-10-11T18:59:49Z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